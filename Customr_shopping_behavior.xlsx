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7. Dashboard\Shopping_Behaviour_Dataset\"/>
    </mc:Choice>
  </mc:AlternateContent>
  <xr:revisionPtr revIDLastSave="0" documentId="13_ncr:1_{24A2C672-15B0-4AA4-9DAD-388173517206}" xr6:coauthVersionLast="47" xr6:coauthVersionMax="47" xr10:uidLastSave="{00000000-0000-0000-0000-000000000000}"/>
  <bookViews>
    <workbookView xWindow="-120" yWindow="-120" windowWidth="20730" windowHeight="11160" activeTab="1" xr2:uid="{E6CD9D39-7517-4EBF-A5C6-333517CF20F7}"/>
  </bookViews>
  <sheets>
    <sheet name="Sheet1" sheetId="1" r:id="rId1"/>
    <sheet name="Dashboard" sheetId="2" r:id="rId2"/>
  </sheets>
  <definedNames>
    <definedName name="Slicer_Category">#N/A</definedName>
    <definedName name="Slicer_Gender">#N/A</definedName>
    <definedName name="Slicer_Season">#N/A</definedName>
    <definedName name="Slicer_Size">#N/A</definedName>
  </definedNames>
  <calcPr calcId="191029"/>
  <pivotCaches>
    <pivotCache cacheId="257" r:id="rId3"/>
    <pivotCache cacheId="458" r:id="rId4"/>
    <pivotCache cacheId="470" r:id="rId5"/>
    <pivotCache cacheId="473" r:id="rId6"/>
    <pivotCache cacheId="476" r:id="rId7"/>
    <pivotCache cacheId="479" r:id="rId8"/>
    <pivotCache cacheId="482" r:id="rId9"/>
    <pivotCache cacheId="485" r:id="rId10"/>
    <pivotCache cacheId="488" r:id="rId11"/>
    <pivotCache cacheId="491" r:id="rId12"/>
  </pivotCaches>
  <extLst>
    <ext xmlns:x14="http://schemas.microsoft.com/office/spreadsheetml/2009/9/main" uri="{876F7934-8845-4945-9796-88D515C7AA90}">
      <x14:pivotCaches>
        <pivotCache cacheId="22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opping_behavior_updated_b2ec9a25-badf-456c-aa73-325c3d5ec60d" name="shopping_behavior_updated" connection="Query - shopping_behavior_updated"/>
          <x15:modelTable id="Calculation_7649bc08-253c-492b-b18e-bb21563d433d" name="Calculation" connection="Query - Calcula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4" i="1" l="1" a="1"/>
  <c r="Y14" i="1" s="1"/>
  <c r="AR13" i="1" a="1"/>
  <c r="AR13" i="1" s="1"/>
  <c r="AO7" i="1"/>
  <c r="AO8" i="1"/>
  <c r="AO9" i="1"/>
  <c r="AO10" i="1"/>
  <c r="AO11" i="1"/>
  <c r="AO6" i="1"/>
  <c r="K15" i="1" a="1"/>
  <c r="K15" i="1" s="1"/>
  <c r="AF14" i="1" a="1"/>
  <c r="AF14" i="1" s="1"/>
  <c r="Z16" i="1"/>
  <c r="Z15" i="1"/>
  <c r="AH6" i="1"/>
  <c r="AG15" i="1" s="1"/>
  <c r="AH7" i="1"/>
  <c r="AG16" i="1" s="1"/>
  <c r="AH8" i="1"/>
  <c r="AG17" i="1" s="1"/>
  <c r="AH9" i="1"/>
  <c r="AG18" i="1" s="1"/>
  <c r="E23" i="1" a="1"/>
  <c r="E23" i="1" s="1"/>
  <c r="B23" i="1" a="1"/>
  <c r="B23" i="1" s="1"/>
  <c r="AT17" i="1" l="1"/>
  <c r="AU17" i="1"/>
  <c r="AT14" i="1"/>
  <c r="AU14" i="1"/>
  <c r="AT15" i="1"/>
  <c r="AU15" i="1"/>
  <c r="AT16" i="1"/>
  <c r="AU16" i="1"/>
  <c r="AB17" i="1"/>
  <c r="AB18" i="1"/>
  <c r="AB15" i="1"/>
  <c r="AB16" i="1"/>
  <c r="AA16" i="1"/>
  <c r="AA17" i="1"/>
  <c r="AA18" i="1"/>
  <c r="AA15" i="1"/>
  <c r="AI8" i="1"/>
  <c r="AJ7" i="1"/>
  <c r="AI7" i="1"/>
  <c r="AI6" i="1"/>
  <c r="AJ6" i="1"/>
  <c r="AJ8" i="1"/>
  <c r="AJ9" i="1"/>
  <c r="AI9" i="1"/>
  <c r="AH14" i="1" l="1" a="1"/>
  <c r="AH1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23FC29-BE30-4AF6-947B-0FA34A390212}" name="Query - Calculation" description="Connection to the 'Calculation' query in the workbook." type="100" refreshedVersion="8" minRefreshableVersion="5">
    <extLst>
      <ext xmlns:x15="http://schemas.microsoft.com/office/spreadsheetml/2010/11/main" uri="{DE250136-89BD-433C-8126-D09CA5730AF9}">
        <x15:connection id="fefd438f-f413-4fff-b1b5-47571b1cc71e">
          <x15:oledbPr connection="Provider=Microsoft.Mashup.OleDb.1;Data Source=$Workbook$;Location=Calculation;Extended Properties=&quot;&quot;">
            <x15:dbTables>
              <x15:dbTable name="Calculation"/>
            </x15:dbTables>
          </x15:oledbPr>
        </x15:connection>
      </ext>
    </extLst>
  </connection>
  <connection id="2" xr16:uid="{4C265452-6684-42F3-B563-5C4F493B5C7E}" name="Query - shopping_behavior_updated" description="Connection to the 'shopping_behavior_updated' query in the workbook." type="100" refreshedVersion="8" minRefreshableVersion="5">
    <extLst>
      <ext xmlns:x15="http://schemas.microsoft.com/office/spreadsheetml/2010/11/main" uri="{DE250136-89BD-433C-8126-D09CA5730AF9}">
        <x15:connection id="d23317ab-90dd-4886-9c37-0139aefb8981"/>
      </ext>
    </extLst>
  </connection>
  <connection id="3" xr16:uid="{FFBA5920-75EA-4649-B91E-96EDA6287D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shopping_behavior_updated].[Gender].[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<sst xmlns="http://schemas.openxmlformats.org/spreadsheetml/2006/main" count="79" uniqueCount="54">
  <si>
    <t>Total_Revenue</t>
  </si>
  <si>
    <t>Total Customer</t>
  </si>
  <si>
    <t>Total Transactions</t>
  </si>
  <si>
    <t>Average Order Value (AOV)</t>
  </si>
  <si>
    <t>Average Review Rating</t>
  </si>
  <si>
    <t>Average Previous Purchases</t>
  </si>
  <si>
    <t>Row Labels</t>
  </si>
  <si>
    <t>Accessories</t>
  </si>
  <si>
    <t>Clothing</t>
  </si>
  <si>
    <t>Footwear</t>
  </si>
  <si>
    <t>Outerwear</t>
  </si>
  <si>
    <t>Jewelry</t>
  </si>
  <si>
    <t>Female</t>
  </si>
  <si>
    <t>Male</t>
  </si>
  <si>
    <t>%Revenue</t>
  </si>
  <si>
    <t>L</t>
  </si>
  <si>
    <t>M</t>
  </si>
  <si>
    <t>S</t>
  </si>
  <si>
    <t>XL</t>
  </si>
  <si>
    <t>%Size</t>
  </si>
  <si>
    <t>Mix</t>
  </si>
  <si>
    <t>Min</t>
  </si>
  <si>
    <t>Max</t>
  </si>
  <si>
    <t>TOP 5 Product Performance</t>
  </si>
  <si>
    <t>Below 5 Product Performance</t>
  </si>
  <si>
    <t>Backpack</t>
  </si>
  <si>
    <t>Gloves</t>
  </si>
  <si>
    <t>Bank Transfer</t>
  </si>
  <si>
    <t>Cash</t>
  </si>
  <si>
    <t>Credit Card</t>
  </si>
  <si>
    <t>Debit Card</t>
  </si>
  <si>
    <t>PayPal</t>
  </si>
  <si>
    <t>Venmo</t>
  </si>
  <si>
    <t>%Share</t>
  </si>
  <si>
    <t>Payment Method</t>
  </si>
  <si>
    <t>Age_Group</t>
  </si>
  <si>
    <t>0-18</t>
  </si>
  <si>
    <t>19-37</t>
  </si>
  <si>
    <t>38-56</t>
  </si>
  <si>
    <t>57-75</t>
  </si>
  <si>
    <t>Color</t>
  </si>
  <si>
    <t>Gender</t>
  </si>
  <si>
    <t>Fall</t>
  </si>
  <si>
    <t>Spring</t>
  </si>
  <si>
    <t>Summer</t>
  </si>
  <si>
    <t>Winter</t>
  </si>
  <si>
    <t>All</t>
  </si>
  <si>
    <t>Hoodie</t>
  </si>
  <si>
    <t>Sneakers</t>
  </si>
  <si>
    <t>Jeans</t>
  </si>
  <si>
    <t>Pants</t>
  </si>
  <si>
    <t>Dress</t>
  </si>
  <si>
    <t>Shirt</t>
  </si>
  <si>
    <t>Blouse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</si>
</sst>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7" formatCode="&quot;₹&quot;\ #,##0.00;&quot;₹&quot;\ \-#,##0.00"/>
    <numFmt numFmtId="44" formatCode="_ &quot;₹&quot;\ * #,##0.00_ ;_ &quot;₹&quot;\ * \-#,##0.00_ ;_ &quot;₹&quot;\ * &quot;-&quot;??_ ;_ @_ "/>
    <numFmt numFmtId="164" formatCode="_ * #,##0_ ;_ * \-#,##0_ ;_ * &quot;-&quot;??_ ;_ @_ "/>
    <numFmt numFmtId="165" formatCode="_ [$₹-4009]\ * #,##0_ ;_ [$₹-4009]\ * \-#,##0_ ;_ [$₹-4009]\ * &quot;-&quot;??_ ;_ @_ "/>
    <numFmt numFmtId="166" formatCode="_ &quot;₹&quot;\ * #,##0_ ;_ &quot;₹&quot;\ * \-#,##0_ ;_ &quot;₹&quot;\ * &quot;-&quot;??_ ;_ @_ "/>
    <numFmt numFmtId="168" formatCode="&quot;₹&quot;\ #,##0;#,##0\ \-&quot;₹&quot;;&quot;₹&quot;\ #,##0"/>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FCFCFD"/>
        <bgColor indexed="64"/>
      </patternFill>
    </fill>
    <fill>
      <patternFill patternType="solid">
        <fgColor rgb="FF33547B"/>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2" fontId="0" fillId="0" borderId="0" xfId="0" applyNumberFormat="1"/>
    <xf numFmtId="1" fontId="0" fillId="0" borderId="0" xfId="0" applyNumberFormat="1"/>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7" fontId="0" fillId="0" borderId="0" xfId="0" applyNumberFormat="1"/>
    <xf numFmtId="0" fontId="2" fillId="3" borderId="0" xfId="0" applyFont="1" applyFill="1"/>
    <xf numFmtId="165" fontId="0" fillId="0" borderId="0" xfId="0" applyNumberFormat="1"/>
    <xf numFmtId="166" fontId="0" fillId="0" borderId="0" xfId="1" applyNumberFormat="1" applyFont="1"/>
    <xf numFmtId="0" fontId="2" fillId="3" borderId="0" xfId="0" applyFont="1" applyFill="1" applyAlignment="1">
      <alignment horizontal="center"/>
    </xf>
    <xf numFmtId="0" fontId="2" fillId="3" borderId="0" xfId="0" applyFont="1" applyFill="1" applyAlignment="1">
      <alignment horizontal="center" vertical="center"/>
    </xf>
    <xf numFmtId="0" fontId="0" fillId="0" borderId="0" xfId="0" applyNumberFormat="1"/>
    <xf numFmtId="168" fontId="0" fillId="0" borderId="0" xfId="0" applyNumberFormat="1"/>
  </cellXfs>
  <cellStyles count="2">
    <cellStyle name="Currency" xfId="1" builtinId="4"/>
    <cellStyle name="Normal" xfId="0" builtinId="0"/>
  </cellStyles>
  <dxfs count="37">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 formatCode="0"/>
    </dxf>
    <dxf>
      <font>
        <sz val="11"/>
        <color theme="0" tint="-4.9989318521683403E-2"/>
        <name val="Calibri"/>
        <family val="2"/>
        <scheme val="minor"/>
      </font>
      <fill>
        <patternFill>
          <bgColor rgb="FF6B6B6B"/>
        </patternFill>
      </fill>
      <border diagonalUp="0" diagonalDown="0">
        <left/>
        <right/>
        <top/>
        <bottom/>
        <vertical/>
        <horizontal/>
      </border>
    </dxf>
    <dxf>
      <font>
        <sz val="11"/>
        <color theme="0" tint="-4.9989318521683403E-2"/>
        <name val="Calibri"/>
        <family val="2"/>
        <scheme val="minor"/>
      </font>
      <fill>
        <patternFill patternType="none">
          <bgColor auto="1"/>
        </patternFill>
      </fill>
      <border>
        <left style="medium">
          <color theme="0" tint="-0.24994659260841701"/>
        </left>
        <right style="medium">
          <color theme="0" tint="-0.24994659260841701"/>
        </right>
        <top style="medium">
          <color theme="0" tint="-0.24994659260841701"/>
        </top>
        <bottom style="medium">
          <color theme="0" tint="-0.24994659260841701"/>
        </bottom>
        <vertical/>
        <horizontal/>
      </border>
    </dxf>
    <dxf>
      <font>
        <b/>
        <color theme="1"/>
      </font>
      <fill>
        <patternFill>
          <bgColor rgb="FF00206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s>
  <tableStyles count="2" defaultTableStyle="TableStyleMedium2" defaultPivotStyle="PivotStyleLight16">
    <tableStyle name="SlicerStyleDark1 2" pivot="0" table="0" count="10" xr9:uid="{0A6BB9DE-8A34-4113-84FB-B34CC8D79752}">
      <tableStyleElement type="wholeTable" dxfId="36"/>
      <tableStyleElement type="headerRow" dxfId="35"/>
    </tableStyle>
    <tableStyle name="SlicerStyleLight5 2" pivot="0" table="0" count="10" xr9:uid="{F19D5283-529D-4301-863F-F105B66B88AE}">
      <tableStyleElement type="wholeTable" dxfId="34"/>
      <tableStyleElement type="headerRow" dxfId="33"/>
    </tableStyle>
  </tableStyles>
  <colors>
    <mruColors>
      <color rgb="FFE7E4DD"/>
      <color rgb="FFE5A636"/>
      <color rgb="FF33547B"/>
      <color rgb="FF6B6B6B"/>
      <color rgb="FF35547D"/>
      <color rgb="FFFCFCFD"/>
      <color rgb="FFFBFCF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0" tint="-4.9989318521683403E-2"/>
            <name val="Calibri"/>
            <family val="2"/>
            <scheme val="minor"/>
          </font>
          <fill>
            <gradientFill degree="90">
              <stop position="0">
                <color rgb="FF33547B"/>
              </stop>
              <stop position="1">
                <color rgb="FFE5A636"/>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style="medium">
              <color theme="0" tint="-0.14996795556505021"/>
            </left>
            <right style="medium">
              <color theme="0" tint="-0.14996795556505021"/>
            </right>
            <top style="medium">
              <color theme="0" tint="-0.14996795556505021"/>
            </top>
            <bottom style="medium">
              <color theme="0" tint="-0.14996795556505021"/>
            </bottom>
            <vertical/>
            <horizontal/>
          </border>
        </dxf>
        <dxf>
          <font>
            <color rgb="FF828282"/>
          </font>
          <fill>
            <gradientFill degree="90">
              <stop position="0">
                <color theme="0"/>
              </stop>
              <stop position="1">
                <color rgb="FF33547B"/>
              </stop>
            </gradientFill>
          </fill>
          <border>
            <left style="thin">
              <color rgb="FFCCCCCC"/>
            </left>
            <right style="thin">
              <color rgb="FFCCCCCC"/>
            </right>
            <top style="thin">
              <color rgb="FFCCCCCC"/>
            </top>
            <bottom style="thin">
              <color rgb="FFCCCCCC"/>
            </bottom>
            <vertical/>
            <horizontal/>
          </border>
        </dxf>
        <dxf>
          <font>
            <b/>
            <i val="0"/>
            <sz val="11"/>
            <color theme="0" tint="-4.9989318521683403E-2"/>
            <name val="Calibri"/>
            <family val="2"/>
            <scheme val="minor"/>
          </font>
          <fill>
            <patternFill patternType="solid">
              <fgColor theme="8" tint="0.59999389629810485"/>
              <bgColor rgb="FFE5A636"/>
            </patternFill>
          </fill>
          <border>
            <left/>
            <right/>
            <top/>
            <bottom/>
            <vertical/>
            <horizontal/>
          </border>
        </dxf>
        <dxf>
          <font>
            <color rgb="FF828282"/>
          </font>
          <fill>
            <gradientFill degree="90">
              <stop position="0">
                <color theme="0"/>
              </stop>
              <stop position="1">
                <color theme="4"/>
              </stop>
            </gradient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theme="4" tint="-0.249977111117893"/>
          </font>
          <fill>
            <patternFill patternType="solid">
              <fgColor theme="4" tint="0.59999389629810485"/>
              <bgColor theme="4" tint="0.59999389629810485"/>
            </patternFill>
          </fill>
          <border diagonalUp="0" diagonalDown="0">
            <left/>
            <right/>
            <top/>
            <bottom/>
            <vertical/>
            <horizontal/>
          </border>
        </dxf>
        <dxf>
          <font>
            <color theme="0"/>
          </font>
          <fill>
            <patternFill patternType="solid">
              <fgColor theme="4"/>
              <bgColor theme="4"/>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6.xml"/><Relationship Id="rId51" Type="http://schemas.openxmlformats.org/officeDocument/2006/relationships/customXml" Target="../customXml/item2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763602583384933"/>
          <c:y val="8.83537071971114E-2"/>
          <c:w val="0.46378719513993333"/>
          <c:h val="0.82329317269076308"/>
        </c:manualLayout>
      </c:layout>
      <c:barChart>
        <c:barDir val="bar"/>
        <c:grouping val="clustered"/>
        <c:varyColors val="0"/>
        <c:ser>
          <c:idx val="0"/>
          <c:order val="0"/>
          <c:tx>
            <c:strRef>
              <c:f>Sheet1!$C$23</c:f>
              <c:strCache>
                <c:ptCount val="1"/>
                <c:pt idx="0">
                  <c:v>Total_Revenue</c:v>
                </c:pt>
              </c:strCache>
            </c:strRef>
          </c:tx>
          <c:spPr>
            <a:solidFill>
              <a:srgbClr val="33547B"/>
            </a:solidFill>
            <a:ln>
              <a:noFill/>
            </a:ln>
            <a:effectLst/>
          </c:spPr>
          <c:invertIfNegative val="0"/>
          <c:dLbls>
            <c:dLbl>
              <c:idx val="0"/>
              <c:tx>
                <c:rich>
                  <a:bodyPr/>
                  <a:lstStyle/>
                  <a:p>
                    <a:fld id="{6DF262F4-018A-46E6-AF70-0E762A96FC4B}"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467-4837-AF77-9293445CEA97}"/>
                </c:ext>
              </c:extLst>
            </c:dLbl>
            <c:dLbl>
              <c:idx val="1"/>
              <c:tx>
                <c:rich>
                  <a:bodyPr/>
                  <a:lstStyle/>
                  <a:p>
                    <a:fld id="{0BCFC1AF-9CD5-42D9-BF02-74779CB0ABE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467-4837-AF77-9293445CEA97}"/>
                </c:ext>
              </c:extLst>
            </c:dLbl>
            <c:dLbl>
              <c:idx val="2"/>
              <c:tx>
                <c:rich>
                  <a:bodyPr/>
                  <a:lstStyle/>
                  <a:p>
                    <a:fld id="{A32667B8-ABDB-46D5-B60B-8EF60DDE2DE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467-4837-AF77-9293445CEA97}"/>
                </c:ext>
              </c:extLst>
            </c:dLbl>
            <c:dLbl>
              <c:idx val="3"/>
              <c:tx>
                <c:rich>
                  <a:bodyPr/>
                  <a:lstStyle/>
                  <a:p>
                    <a:fld id="{73239CBE-FFD4-4237-B296-E59017D2D66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467-4837-AF77-9293445CEA9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Sheet1!$B$24:$B$27</c:f>
              <c:strCache>
                <c:ptCount val="4"/>
                <c:pt idx="0">
                  <c:v>Clothing</c:v>
                </c:pt>
                <c:pt idx="1">
                  <c:v>Accessories</c:v>
                </c:pt>
                <c:pt idx="2">
                  <c:v>Footwear</c:v>
                </c:pt>
                <c:pt idx="3">
                  <c:v>Outerwear</c:v>
                </c:pt>
              </c:strCache>
            </c:strRef>
          </c:cat>
          <c:val>
            <c:numRef>
              <c:f>Sheet1!$C$24:$C$27</c:f>
              <c:numCache>
                <c:formatCode>General</c:formatCode>
                <c:ptCount val="4"/>
                <c:pt idx="0">
                  <c:v>104264</c:v>
                </c:pt>
                <c:pt idx="1">
                  <c:v>74200</c:v>
                </c:pt>
                <c:pt idx="2">
                  <c:v>36093</c:v>
                </c:pt>
                <c:pt idx="3">
                  <c:v>18524</c:v>
                </c:pt>
              </c:numCache>
            </c:numRef>
          </c:val>
          <c:extLst>
            <c:ext xmlns:c15="http://schemas.microsoft.com/office/drawing/2012/chart" uri="{02D57815-91ED-43cb-92C2-25804820EDAC}">
              <c15:datalabelsRange>
                <c15:f>Sheet1!$C$16:$C$19</c15:f>
                <c15:dlblRangeCache>
                  <c:ptCount val="4"/>
                  <c:pt idx="0">
                    <c:v>₹ 1,04,264</c:v>
                  </c:pt>
                  <c:pt idx="1">
                    <c:v>₹ 74,200</c:v>
                  </c:pt>
                  <c:pt idx="2">
                    <c:v>₹ 36,093</c:v>
                  </c:pt>
                  <c:pt idx="3">
                    <c:v>₹ 18,524</c:v>
                  </c:pt>
                </c15:dlblRangeCache>
              </c15:datalabelsRange>
            </c:ext>
            <c:ext xmlns:c16="http://schemas.microsoft.com/office/drawing/2014/chart" uri="{C3380CC4-5D6E-409C-BE32-E72D297353CC}">
              <c16:uniqueId val="{00000000-B467-4837-AF77-9293445CEA97}"/>
            </c:ext>
          </c:extLst>
        </c:ser>
        <c:dLbls>
          <c:showLegendKey val="0"/>
          <c:showVal val="0"/>
          <c:showCatName val="0"/>
          <c:showSerName val="0"/>
          <c:showPercent val="0"/>
          <c:showBubbleSize val="0"/>
        </c:dLbls>
        <c:gapWidth val="72"/>
        <c:axId val="809138528"/>
        <c:axId val="809132768"/>
      </c:barChart>
      <c:catAx>
        <c:axId val="8091385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9132768"/>
        <c:crosses val="autoZero"/>
        <c:auto val="1"/>
        <c:lblAlgn val="ctr"/>
        <c:lblOffset val="100"/>
        <c:noMultiLvlLbl val="0"/>
      </c:catAx>
      <c:valAx>
        <c:axId val="809132768"/>
        <c:scaling>
          <c:orientation val="minMax"/>
        </c:scaling>
        <c:delete val="1"/>
        <c:axPos val="t"/>
        <c:numFmt formatCode="General" sourceLinked="1"/>
        <c:majorTickMark val="none"/>
        <c:minorTickMark val="none"/>
        <c:tickLblPos val="nextTo"/>
        <c:crossAx val="80913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Sheet1!$F$23</c:f>
              <c:strCache>
                <c:ptCount val="1"/>
                <c:pt idx="0">
                  <c:v>Total Transactions</c:v>
                </c:pt>
              </c:strCache>
            </c:strRef>
          </c:tx>
          <c:spPr>
            <a:solidFill>
              <a:srgbClr val="33547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Sheet1!$E$24:$E$27</c:f>
              <c:strCache>
                <c:ptCount val="4"/>
                <c:pt idx="0">
                  <c:v>Clothing</c:v>
                </c:pt>
                <c:pt idx="1">
                  <c:v>Accessories</c:v>
                </c:pt>
                <c:pt idx="2">
                  <c:v>Footwear</c:v>
                </c:pt>
                <c:pt idx="3">
                  <c:v>Outerwear</c:v>
                </c:pt>
              </c:strCache>
            </c:strRef>
          </c:cat>
          <c:val>
            <c:numRef>
              <c:f>Sheet1!$F$24:$F$27</c:f>
              <c:numCache>
                <c:formatCode>General</c:formatCode>
                <c:ptCount val="4"/>
                <c:pt idx="0">
                  <c:v>1737</c:v>
                </c:pt>
                <c:pt idx="1">
                  <c:v>1240</c:v>
                </c:pt>
                <c:pt idx="2">
                  <c:v>599</c:v>
                </c:pt>
                <c:pt idx="3">
                  <c:v>324</c:v>
                </c:pt>
              </c:numCache>
            </c:numRef>
          </c:val>
          <c:extLst>
            <c:ext xmlns:c16="http://schemas.microsoft.com/office/drawing/2014/chart" uri="{C3380CC4-5D6E-409C-BE32-E72D297353CC}">
              <c16:uniqueId val="{00000000-5729-4258-A383-A8C877056426}"/>
            </c:ext>
          </c:extLst>
        </c:ser>
        <c:dLbls>
          <c:showLegendKey val="0"/>
          <c:showVal val="0"/>
          <c:showCatName val="0"/>
          <c:showSerName val="0"/>
          <c:showPercent val="0"/>
          <c:showBubbleSize val="0"/>
        </c:dLbls>
        <c:gapWidth val="72"/>
        <c:axId val="914178368"/>
        <c:axId val="914163008"/>
      </c:barChart>
      <c:catAx>
        <c:axId val="914178368"/>
        <c:scaling>
          <c:orientation val="maxMin"/>
        </c:scaling>
        <c:delete val="1"/>
        <c:axPos val="r"/>
        <c:numFmt formatCode="General" sourceLinked="1"/>
        <c:majorTickMark val="none"/>
        <c:minorTickMark val="none"/>
        <c:tickLblPos val="nextTo"/>
        <c:crossAx val="914163008"/>
        <c:crosses val="autoZero"/>
        <c:auto val="1"/>
        <c:lblAlgn val="ctr"/>
        <c:lblOffset val="100"/>
        <c:noMultiLvlLbl val="0"/>
      </c:catAx>
      <c:valAx>
        <c:axId val="914163008"/>
        <c:scaling>
          <c:orientation val="maxMin"/>
        </c:scaling>
        <c:delete val="1"/>
        <c:axPos val="t"/>
        <c:numFmt formatCode="General" sourceLinked="1"/>
        <c:majorTickMark val="none"/>
        <c:minorTickMark val="none"/>
        <c:tickLblPos val="nextTo"/>
        <c:crossAx val="91417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319877999439784E-2"/>
          <c:y val="7.7716780729511617E-2"/>
          <c:w val="0.67748612451111601"/>
          <c:h val="0.80095322196874918"/>
        </c:manualLayout>
      </c:layout>
      <c:doughnutChart>
        <c:varyColors val="1"/>
        <c:ser>
          <c:idx val="0"/>
          <c:order val="0"/>
          <c:tx>
            <c:strRef>
              <c:f>Sheet1!$Z$14</c:f>
              <c:strCache>
                <c:ptCount val="1"/>
                <c:pt idx="0">
                  <c:v>%Revenue</c:v>
                </c:pt>
              </c:strCache>
            </c:strRef>
          </c:tx>
          <c:dPt>
            <c:idx val="0"/>
            <c:bubble3D val="0"/>
            <c:spPr>
              <a:solidFill>
                <a:srgbClr val="E5A636"/>
              </a:solidFill>
              <a:ln w="19050">
                <a:solidFill>
                  <a:schemeClr val="lt1"/>
                </a:solidFill>
              </a:ln>
              <a:effectLst/>
            </c:spPr>
            <c:extLst>
              <c:ext xmlns:c16="http://schemas.microsoft.com/office/drawing/2014/chart" uri="{C3380CC4-5D6E-409C-BE32-E72D297353CC}">
                <c16:uniqueId val="{00000001-464A-4A75-933F-AC56DB66722B}"/>
              </c:ext>
            </c:extLst>
          </c:dPt>
          <c:dPt>
            <c:idx val="1"/>
            <c:bubble3D val="0"/>
            <c:spPr>
              <a:solidFill>
                <a:srgbClr val="33547B"/>
              </a:solidFill>
              <a:ln w="19050">
                <a:solidFill>
                  <a:schemeClr val="lt1"/>
                </a:solidFill>
              </a:ln>
              <a:effectLst/>
            </c:spPr>
            <c:extLst>
              <c:ext xmlns:c16="http://schemas.microsoft.com/office/drawing/2014/chart" uri="{C3380CC4-5D6E-409C-BE32-E72D297353CC}">
                <c16:uniqueId val="{00000003-464A-4A75-933F-AC56DB66722B}"/>
              </c:ext>
            </c:extLst>
          </c:dPt>
          <c:dLbls>
            <c:dLbl>
              <c:idx val="0"/>
              <c:layout>
                <c:manualLayout>
                  <c:x val="0.14696446214185205"/>
                  <c:y val="-0.11503593592856967"/>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462741070409676"/>
                      <c:h val="0.13808521598351606"/>
                    </c:manualLayout>
                  </c15:layout>
                </c:ext>
                <c:ext xmlns:c16="http://schemas.microsoft.com/office/drawing/2014/chart" uri="{C3380CC4-5D6E-409C-BE32-E72D297353CC}">
                  <c16:uniqueId val="{00000001-464A-4A75-933F-AC56DB66722B}"/>
                </c:ext>
              </c:extLst>
            </c:dLbl>
            <c:dLbl>
              <c:idx val="1"/>
              <c:layout>
                <c:manualLayout>
                  <c:x val="-4.445171881604687E-2"/>
                  <c:y val="0.19705325385728653"/>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62DF958C-2929-40FB-AFC8-18B9F7CB32DC}" type="VALUE">
                      <a:rPr lang="en-US" sz="1100" b="1"/>
                      <a:pPr>
                        <a:defRPr sz="1100" b="1"/>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5691606039739323"/>
                      <c:h val="0.15054627517354721"/>
                    </c:manualLayout>
                  </c15:layout>
                  <c15:dlblFieldTable/>
                  <c15:showDataLabelsRange val="0"/>
                </c:ext>
                <c:ext xmlns:c16="http://schemas.microsoft.com/office/drawing/2014/chart" uri="{C3380CC4-5D6E-409C-BE32-E72D297353CC}">
                  <c16:uniqueId val="{00000003-464A-4A75-933F-AC56DB66722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Sheet1!$Y$15:$Y$16</c:f>
              <c:strCache>
                <c:ptCount val="2"/>
                <c:pt idx="0">
                  <c:v>Female</c:v>
                </c:pt>
                <c:pt idx="1">
                  <c:v>Male</c:v>
                </c:pt>
              </c:strCache>
            </c:strRef>
          </c:cat>
          <c:val>
            <c:numRef>
              <c:f>Sheet1!$Z$15:$Z$16</c:f>
              <c:numCache>
                <c:formatCode>0.00%</c:formatCode>
                <c:ptCount val="2"/>
                <c:pt idx="0">
                  <c:v>0.32259600739657029</c:v>
                </c:pt>
                <c:pt idx="1">
                  <c:v>0.67740399260342976</c:v>
                </c:pt>
              </c:numCache>
            </c:numRef>
          </c:val>
          <c:extLst>
            <c:ext xmlns:c16="http://schemas.microsoft.com/office/drawing/2014/chart" uri="{C3380CC4-5D6E-409C-BE32-E72D297353CC}">
              <c16:uniqueId val="{00000008-464A-4A75-933F-AC56DB66722B}"/>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b"/>
      <c:layout>
        <c:manualLayout>
          <c:xMode val="edge"/>
          <c:yMode val="edge"/>
          <c:x val="0.56329401512557975"/>
          <c:y val="0.85747589962469628"/>
          <c:w val="0.43670608589656629"/>
          <c:h val="0.11645939117423408"/>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Sheet1!$AG$14</c:f>
              <c:strCache>
                <c:ptCount val="1"/>
                <c:pt idx="0">
                  <c:v>%Size</c:v>
                </c:pt>
              </c:strCache>
            </c:strRef>
          </c:tx>
          <c:spPr>
            <a:solidFill>
              <a:srgbClr val="E7E4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Sheet1!$AF$15:$AF$18</c:f>
              <c:strCache>
                <c:ptCount val="4"/>
                <c:pt idx="0">
                  <c:v>M</c:v>
                </c:pt>
                <c:pt idx="1">
                  <c:v>L</c:v>
                </c:pt>
                <c:pt idx="2">
                  <c:v>S</c:v>
                </c:pt>
                <c:pt idx="3">
                  <c:v>XL</c:v>
                </c:pt>
              </c:strCache>
            </c:strRef>
          </c:cat>
          <c:val>
            <c:numRef>
              <c:f>Sheet1!$AG$15:$AG$18</c:f>
              <c:numCache>
                <c:formatCode>0.00%</c:formatCode>
                <c:ptCount val="4"/>
                <c:pt idx="0">
                  <c:v>0.45120365881388874</c:v>
                </c:pt>
                <c:pt idx="1">
                  <c:v>0.26457325993967762</c:v>
                </c:pt>
                <c:pt idx="2">
                  <c:v>0.17362204555497873</c:v>
                </c:pt>
                <c:pt idx="3">
                  <c:v>0.11060103569145491</c:v>
                </c:pt>
              </c:numCache>
            </c:numRef>
          </c:val>
          <c:extLst>
            <c:ext xmlns:c16="http://schemas.microsoft.com/office/drawing/2014/chart" uri="{C3380CC4-5D6E-409C-BE32-E72D297353CC}">
              <c16:uniqueId val="{00000000-C51B-418E-861F-42F30669D139}"/>
            </c:ext>
          </c:extLst>
        </c:ser>
        <c:ser>
          <c:idx val="1"/>
          <c:order val="1"/>
          <c:tx>
            <c:strRef>
              <c:f>Sheet1!$AH$14</c:f>
              <c:strCache>
                <c:ptCount val="1"/>
                <c:pt idx="0">
                  <c:v>Mix</c:v>
                </c:pt>
              </c:strCache>
            </c:strRef>
          </c:tx>
          <c:spPr>
            <a:solidFill>
              <a:srgbClr val="35547D"/>
            </a:solidFill>
            <a:ln>
              <a:noFill/>
            </a:ln>
            <a:effectLst/>
          </c:spPr>
          <c:invertIfNegative val="0"/>
          <c:val>
            <c:numRef>
              <c:f>Sheet1!$AH$15:$AH$18</c:f>
              <c:numCache>
                <c:formatCode>0.00%</c:formatCode>
                <c:ptCount val="4"/>
                <c:pt idx="0">
                  <c:v>0.45120365881388874</c:v>
                </c:pt>
                <c:pt idx="1">
                  <c:v>0</c:v>
                </c:pt>
                <c:pt idx="2" formatCode="General">
                  <c:v>0</c:v>
                </c:pt>
                <c:pt idx="3" formatCode="General">
                  <c:v>0</c:v>
                </c:pt>
              </c:numCache>
            </c:numRef>
          </c:val>
          <c:extLst>
            <c:ext xmlns:c16="http://schemas.microsoft.com/office/drawing/2014/chart" uri="{C3380CC4-5D6E-409C-BE32-E72D297353CC}">
              <c16:uniqueId val="{00000001-C51B-418E-861F-42F30669D139}"/>
            </c:ext>
          </c:extLst>
        </c:ser>
        <c:ser>
          <c:idx val="2"/>
          <c:order val="2"/>
          <c:tx>
            <c:strRef>
              <c:f>Sheet1!$AI$14</c:f>
              <c:strCache>
                <c:ptCount val="1"/>
                <c:pt idx="0">
                  <c:v>Min</c:v>
                </c:pt>
              </c:strCache>
            </c:strRef>
          </c:tx>
          <c:spPr>
            <a:solidFill>
              <a:srgbClr val="E5A636"/>
            </a:solidFill>
            <a:ln>
              <a:noFill/>
            </a:ln>
            <a:effectLst/>
          </c:spPr>
          <c:invertIfNegative val="0"/>
          <c:val>
            <c:numRef>
              <c:f>Sheet1!$AI$15:$AI$18</c:f>
              <c:numCache>
                <c:formatCode>General</c:formatCode>
                <c:ptCount val="4"/>
                <c:pt idx="0">
                  <c:v>0</c:v>
                </c:pt>
                <c:pt idx="1">
                  <c:v>0</c:v>
                </c:pt>
                <c:pt idx="2">
                  <c:v>0</c:v>
                </c:pt>
                <c:pt idx="3" formatCode="0.00%">
                  <c:v>0.11060103569145491</c:v>
                </c:pt>
              </c:numCache>
            </c:numRef>
          </c:val>
          <c:extLst>
            <c:ext xmlns:c16="http://schemas.microsoft.com/office/drawing/2014/chart" uri="{C3380CC4-5D6E-409C-BE32-E72D297353CC}">
              <c16:uniqueId val="{00000002-C51B-418E-861F-42F30669D139}"/>
            </c:ext>
          </c:extLst>
        </c:ser>
        <c:dLbls>
          <c:showLegendKey val="0"/>
          <c:showVal val="0"/>
          <c:showCatName val="0"/>
          <c:showSerName val="0"/>
          <c:showPercent val="0"/>
          <c:showBubbleSize val="0"/>
        </c:dLbls>
        <c:gapWidth val="232"/>
        <c:overlap val="100"/>
        <c:axId val="1870747760"/>
        <c:axId val="1870741520"/>
      </c:barChart>
      <c:catAx>
        <c:axId val="18707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70741520"/>
        <c:crosses val="autoZero"/>
        <c:auto val="1"/>
        <c:lblAlgn val="ctr"/>
        <c:lblOffset val="100"/>
        <c:noMultiLvlLbl val="0"/>
      </c:catAx>
      <c:valAx>
        <c:axId val="1870741520"/>
        <c:scaling>
          <c:orientation val="minMax"/>
        </c:scaling>
        <c:delete val="1"/>
        <c:axPos val="l"/>
        <c:numFmt formatCode="0.00%" sourceLinked="1"/>
        <c:majorTickMark val="none"/>
        <c:minorTickMark val="none"/>
        <c:tickLblPos val="nextTo"/>
        <c:crossAx val="187074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76290463692042"/>
          <c:y val="6.9182424197704248E-2"/>
          <c:w val="0.70284026996625426"/>
          <c:h val="0.86163515160459148"/>
        </c:manualLayout>
      </c:layout>
      <c:barChart>
        <c:barDir val="bar"/>
        <c:grouping val="clustered"/>
        <c:varyColors val="0"/>
        <c:ser>
          <c:idx val="0"/>
          <c:order val="0"/>
          <c:tx>
            <c:strRef>
              <c:f>Sheet1!$L$15</c:f>
              <c:strCache>
                <c:ptCount val="1"/>
                <c:pt idx="0">
                  <c:v>Total_Revenue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Sheet1!$K$16:$K$20</c:f>
              <c:strCache>
                <c:ptCount val="5"/>
                <c:pt idx="0">
                  <c:v>Jewelry</c:v>
                </c:pt>
                <c:pt idx="1">
                  <c:v>Pants</c:v>
                </c:pt>
                <c:pt idx="2">
                  <c:v>Dress</c:v>
                </c:pt>
                <c:pt idx="3">
                  <c:v>Shirt</c:v>
                </c:pt>
                <c:pt idx="4">
                  <c:v>Blouse</c:v>
                </c:pt>
              </c:strCache>
            </c:strRef>
          </c:cat>
          <c:val>
            <c:numRef>
              <c:f>Sheet1!$L$16:$L$20</c:f>
              <c:numCache>
                <c:formatCode>_ "₹"\ * #,##0_ ;_ "₹"\ * \-#,##0_ ;_ "₹"\ * "-"??_ ;_ @_ </c:formatCode>
                <c:ptCount val="5"/>
                <c:pt idx="0" formatCode="_ [$₹-4009]\ * #,##0_ ;_ [$₹-4009]\ * \-#,##0_ ;_ [$₹-4009]\ * &quot;-&quot;??_ ;_ @_ ">
                  <c:v>10010</c:v>
                </c:pt>
                <c:pt idx="1">
                  <c:v>10090</c:v>
                </c:pt>
                <c:pt idx="2">
                  <c:v>10320</c:v>
                </c:pt>
                <c:pt idx="3">
                  <c:v>10332</c:v>
                </c:pt>
                <c:pt idx="4">
                  <c:v>10410</c:v>
                </c:pt>
              </c:numCache>
            </c:numRef>
          </c:val>
          <c:extLst>
            <c:ext xmlns:c16="http://schemas.microsoft.com/office/drawing/2014/chart" uri="{C3380CC4-5D6E-409C-BE32-E72D297353CC}">
              <c16:uniqueId val="{00000000-E583-42DE-A657-E43167281EFD}"/>
            </c:ext>
          </c:extLst>
        </c:ser>
        <c:dLbls>
          <c:showLegendKey val="0"/>
          <c:showVal val="0"/>
          <c:showCatName val="0"/>
          <c:showSerName val="0"/>
          <c:showPercent val="0"/>
          <c:showBubbleSize val="0"/>
        </c:dLbls>
        <c:gapWidth val="182"/>
        <c:axId val="1955005008"/>
        <c:axId val="1955022768"/>
      </c:barChart>
      <c:catAx>
        <c:axId val="195500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55022768"/>
        <c:crosses val="autoZero"/>
        <c:auto val="1"/>
        <c:lblAlgn val="ctr"/>
        <c:lblOffset val="100"/>
        <c:noMultiLvlLbl val="0"/>
      </c:catAx>
      <c:valAx>
        <c:axId val="1955022768"/>
        <c:scaling>
          <c:orientation val="minMax"/>
        </c:scaling>
        <c:delete val="1"/>
        <c:axPos val="b"/>
        <c:numFmt formatCode="_ [$₹-4009]\ * #,##0_ ;_ [$₹-4009]\ * \-#,##0_ ;_ [$₹-4009]\ * &quot;-&quot;??_ ;_ @_ " sourceLinked="1"/>
        <c:majorTickMark val="none"/>
        <c:minorTickMark val="none"/>
        <c:tickLblPos val="nextTo"/>
        <c:crossAx val="195500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[Customr_shopping_behavior.xlsx]Sheet1!Payment_Method_Table</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F782A67F-99BC-41A3-8EA4-9C563D12635B}"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09A73AD8-20E9-4136-A4B7-12C9FCF80F77}"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B9E26C34-B3B2-4628-9F66-3BD41F1A722F}"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21889A8D-F0E8-4176-AD50-7E4E7821C6CF}"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941FCD2D-28D2-4899-9E6A-38FE2E71AE4A}"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9495E481-A721-43E3-A1ED-C396796BCC47}" type="CELLRANGE">
                  <a:rPr lang="en-US"/>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
          <c:y val="0.11505922165820642"/>
          <c:w val="0.92198585916911868"/>
          <c:h val="0.60445451635618719"/>
        </c:manualLayout>
      </c:layout>
      <c:barChart>
        <c:barDir val="col"/>
        <c:grouping val="clustered"/>
        <c:varyColors val="0"/>
        <c:ser>
          <c:idx val="0"/>
          <c:order val="0"/>
          <c:tx>
            <c:strRef>
              <c:f>Sheet1!$AO$6:$AO$11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10F0-48B7-801B-6E2434B6B94D}"/>
              </c:ext>
            </c:extLst>
          </c:dPt>
          <c:dPt>
            <c:idx val="1"/>
            <c:invertIfNegative val="0"/>
            <c:bubble3D val="0"/>
            <c:extLst>
              <c:ext xmlns:c16="http://schemas.microsoft.com/office/drawing/2014/chart" uri="{C3380CC4-5D6E-409C-BE32-E72D297353CC}">
                <c16:uniqueId val="{00000004-10F0-48B7-801B-6E2434B6B94D}"/>
              </c:ext>
            </c:extLst>
          </c:dPt>
          <c:dPt>
            <c:idx val="2"/>
            <c:invertIfNegative val="0"/>
            <c:bubble3D val="0"/>
            <c:extLst>
              <c:ext xmlns:c16="http://schemas.microsoft.com/office/drawing/2014/chart" uri="{C3380CC4-5D6E-409C-BE32-E72D297353CC}">
                <c16:uniqueId val="{00000005-10F0-48B7-801B-6E2434B6B94D}"/>
              </c:ext>
            </c:extLst>
          </c:dPt>
          <c:dPt>
            <c:idx val="3"/>
            <c:invertIfNegative val="0"/>
            <c:bubble3D val="0"/>
            <c:extLst>
              <c:ext xmlns:c16="http://schemas.microsoft.com/office/drawing/2014/chart" uri="{C3380CC4-5D6E-409C-BE32-E72D297353CC}">
                <c16:uniqueId val="{00000006-10F0-48B7-801B-6E2434B6B94D}"/>
              </c:ext>
            </c:extLst>
          </c:dPt>
          <c:dPt>
            <c:idx val="4"/>
            <c:invertIfNegative val="0"/>
            <c:bubble3D val="0"/>
            <c:extLst>
              <c:ext xmlns:c16="http://schemas.microsoft.com/office/drawing/2014/chart" uri="{C3380CC4-5D6E-409C-BE32-E72D297353CC}">
                <c16:uniqueId val="{00000007-10F0-48B7-801B-6E2434B6B94D}"/>
              </c:ext>
            </c:extLst>
          </c:dPt>
          <c:dPt>
            <c:idx val="5"/>
            <c:invertIfNegative val="0"/>
            <c:bubble3D val="0"/>
            <c:extLst>
              <c:ext xmlns:c16="http://schemas.microsoft.com/office/drawing/2014/chart" uri="{C3380CC4-5D6E-409C-BE32-E72D297353CC}">
                <c16:uniqueId val="{00000008-10F0-48B7-801B-6E2434B6B94D}"/>
              </c:ext>
            </c:extLst>
          </c:dPt>
          <c:dLbls>
            <c:dLbl>
              <c:idx val="0"/>
              <c:tx>
                <c:rich>
                  <a:bodyPr/>
                  <a:lstStyle/>
                  <a:p>
                    <a:fld id="{F782A67F-99BC-41A3-8EA4-9C563D12635B}"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0F0-48B7-801B-6E2434B6B94D}"/>
                </c:ext>
              </c:extLst>
            </c:dLbl>
            <c:dLbl>
              <c:idx val="1"/>
              <c:tx>
                <c:rich>
                  <a:bodyPr/>
                  <a:lstStyle/>
                  <a:p>
                    <a:fld id="{09A73AD8-20E9-4136-A4B7-12C9FCF80F7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0F0-48B7-801B-6E2434B6B94D}"/>
                </c:ext>
              </c:extLst>
            </c:dLbl>
            <c:dLbl>
              <c:idx val="2"/>
              <c:tx>
                <c:rich>
                  <a:bodyPr/>
                  <a:lstStyle/>
                  <a:p>
                    <a:fld id="{B9E26C34-B3B2-4628-9F66-3BD41F1A722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0F0-48B7-801B-6E2434B6B94D}"/>
                </c:ext>
              </c:extLst>
            </c:dLbl>
            <c:dLbl>
              <c:idx val="3"/>
              <c:tx>
                <c:rich>
                  <a:bodyPr/>
                  <a:lstStyle/>
                  <a:p>
                    <a:fld id="{21889A8D-F0E8-4176-AD50-7E4E7821C6C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0F0-48B7-801B-6E2434B6B94D}"/>
                </c:ext>
              </c:extLst>
            </c:dLbl>
            <c:dLbl>
              <c:idx val="4"/>
              <c:tx>
                <c:rich>
                  <a:bodyPr/>
                  <a:lstStyle/>
                  <a:p>
                    <a:fld id="{941FCD2D-28D2-4899-9E6A-38FE2E71AE4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0F0-48B7-801B-6E2434B6B94D}"/>
                </c:ext>
              </c:extLst>
            </c:dLbl>
            <c:dLbl>
              <c:idx val="5"/>
              <c:tx>
                <c:rich>
                  <a:bodyPr/>
                  <a:lstStyle/>
                  <a:p>
                    <a:fld id="{9495E481-A721-43E3-A1ED-C396796BCC4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0F0-48B7-801B-6E2434B6B94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Sheet1!$AO$6:$AO$11</c:f>
              <c:strCache>
                <c:ptCount val="6"/>
                <c:pt idx="0">
                  <c:v>Credit Card</c:v>
                </c:pt>
                <c:pt idx="1">
                  <c:v>PayPal</c:v>
                </c:pt>
                <c:pt idx="2">
                  <c:v>Cash</c:v>
                </c:pt>
                <c:pt idx="3">
                  <c:v>Debit Card</c:v>
                </c:pt>
                <c:pt idx="4">
                  <c:v>Venmo</c:v>
                </c:pt>
                <c:pt idx="5">
                  <c:v>Bank Transfer</c:v>
                </c:pt>
              </c:strCache>
            </c:strRef>
          </c:cat>
          <c:val>
            <c:numRef>
              <c:f>Sheet1!$AO$6:$AO$11</c:f>
              <c:numCache>
                <c:formatCode>"₹"\ #,##0;#,##0\ \-"₹";"₹"\ #,##0</c:formatCode>
                <c:ptCount val="6"/>
                <c:pt idx="0">
                  <c:v>40310</c:v>
                </c:pt>
                <c:pt idx="1">
                  <c:v>40109</c:v>
                </c:pt>
                <c:pt idx="2">
                  <c:v>40002</c:v>
                </c:pt>
                <c:pt idx="3">
                  <c:v>38742</c:v>
                </c:pt>
                <c:pt idx="4">
                  <c:v>37374</c:v>
                </c:pt>
                <c:pt idx="5">
                  <c:v>36544</c:v>
                </c:pt>
              </c:numCache>
            </c:numRef>
          </c:val>
          <c:extLst>
            <c:ext xmlns:c15="http://schemas.microsoft.com/office/drawing/2012/chart" uri="{02D57815-91ED-43cb-92C2-25804820EDAC}">
              <c15:datalabelsRange>
                <c15:f>Sheet1!$AO$6:$AO$11</c15:f>
                <c15:dlblRangeCache>
                  <c:ptCount val="6"/>
                  <c:pt idx="0">
                    <c:v>17.29%</c:v>
                  </c:pt>
                  <c:pt idx="1">
                    <c:v>17.21%</c:v>
                  </c:pt>
                  <c:pt idx="2">
                    <c:v>17.16%</c:v>
                  </c:pt>
                  <c:pt idx="3">
                    <c:v>16.62%</c:v>
                  </c:pt>
                  <c:pt idx="4">
                    <c:v>16.03%</c:v>
                  </c:pt>
                  <c:pt idx="5">
                    <c:v>15.68%</c:v>
                  </c:pt>
                </c15:dlblRangeCache>
              </c15:datalabelsRange>
            </c:ext>
            <c:ext xmlns:c16="http://schemas.microsoft.com/office/drawing/2014/chart" uri="{C3380CC4-5D6E-409C-BE32-E72D297353CC}">
              <c16:uniqueId val="{00000000-10F0-48B7-801B-6E2434B6B94D}"/>
            </c:ext>
          </c:extLst>
        </c:ser>
        <c:dLbls>
          <c:showLegendKey val="0"/>
          <c:showVal val="0"/>
          <c:showCatName val="0"/>
          <c:showSerName val="0"/>
          <c:showPercent val="0"/>
          <c:showBubbleSize val="0"/>
        </c:dLbls>
        <c:gapWidth val="99"/>
        <c:overlap val="-27"/>
        <c:axId val="1955030448"/>
        <c:axId val="1955017488"/>
      </c:barChart>
      <c:catAx>
        <c:axId val="195503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5017488"/>
        <c:crosses val="autoZero"/>
        <c:auto val="1"/>
        <c:lblAlgn val="ctr"/>
        <c:lblOffset val="100"/>
        <c:noMultiLvlLbl val="0"/>
      </c:catAx>
      <c:valAx>
        <c:axId val="1955017488"/>
        <c:scaling>
          <c:orientation val="minMax"/>
        </c:scaling>
        <c:delete val="1"/>
        <c:axPos val="l"/>
        <c:numFmt formatCode="&quot;₹&quot;\ #,##0;#,##0\ \-&quot;₹&quot;;&quot;₹&quot;\ #,##0" sourceLinked="1"/>
        <c:majorTickMark val="none"/>
        <c:minorTickMark val="none"/>
        <c:tickLblPos val="nextTo"/>
        <c:crossAx val="195503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Sheet1!$AS$13</c:f>
              <c:strCache>
                <c:ptCount val="1"/>
                <c:pt idx="0">
                  <c:v>Total_Revenue</c:v>
                </c:pt>
              </c:strCache>
            </c:strRef>
          </c:tx>
          <c:spPr>
            <a:solidFill>
              <a:srgbClr val="E7E4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Sheet1!$AR$14:$AR$17</c:f>
              <c:strCache>
                <c:ptCount val="4"/>
                <c:pt idx="0">
                  <c:v>19-37</c:v>
                </c:pt>
                <c:pt idx="1">
                  <c:v>38-56</c:v>
                </c:pt>
                <c:pt idx="2">
                  <c:v>57-75</c:v>
                </c:pt>
                <c:pt idx="3">
                  <c:v>0-18</c:v>
                </c:pt>
              </c:strCache>
            </c:strRef>
          </c:cat>
          <c:val>
            <c:numRef>
              <c:f>Sheet1!$AS$14:$AS$17</c:f>
              <c:numCache>
                <c:formatCode>_ [$₹-4009]\ * #,##0_ ;_ [$₹-4009]\ * \-#,##0_ ;_ [$₹-4009]\ * "-"??_ ;_ @_ </c:formatCode>
                <c:ptCount val="4"/>
                <c:pt idx="0">
                  <c:v>84081</c:v>
                </c:pt>
                <c:pt idx="1">
                  <c:v>83898</c:v>
                </c:pt>
                <c:pt idx="2" formatCode="_ &quot;₹&quot;\ * #,##0_ ;_ &quot;₹&quot;\ * \-#,##0_ ;_ &quot;₹&quot;\ * &quot;-&quot;??_ ;_ @_ ">
                  <c:v>60963</c:v>
                </c:pt>
                <c:pt idx="3">
                  <c:v>4139</c:v>
                </c:pt>
              </c:numCache>
            </c:numRef>
          </c:val>
          <c:extLst>
            <c:ext xmlns:c16="http://schemas.microsoft.com/office/drawing/2014/chart" uri="{C3380CC4-5D6E-409C-BE32-E72D297353CC}">
              <c16:uniqueId val="{00000000-BA8F-4FDA-8250-D4026F2051BE}"/>
            </c:ext>
          </c:extLst>
        </c:ser>
        <c:ser>
          <c:idx val="1"/>
          <c:order val="1"/>
          <c:tx>
            <c:strRef>
              <c:f>Sheet1!$AT$13</c:f>
              <c:strCache>
                <c:ptCount val="1"/>
                <c:pt idx="0">
                  <c:v>Max</c:v>
                </c:pt>
              </c:strCache>
            </c:strRef>
          </c:tx>
          <c:spPr>
            <a:solidFill>
              <a:srgbClr val="35547D"/>
            </a:solidFill>
            <a:ln>
              <a:noFill/>
            </a:ln>
            <a:effectLst/>
          </c:spPr>
          <c:invertIfNegative val="0"/>
          <c:val>
            <c:numRef>
              <c:f>Sheet1!$AT$14:$AT$17</c:f>
              <c:numCache>
                <c:formatCode>General</c:formatCode>
                <c:ptCount val="4"/>
                <c:pt idx="0" formatCode="_ [$₹-4009]\ * #,##0_ ;_ [$₹-4009]\ * \-#,##0_ ;_ [$₹-4009]\ * &quot;-&quot;??_ ;_ @_ ">
                  <c:v>84081</c:v>
                </c:pt>
                <c:pt idx="1">
                  <c:v>0</c:v>
                </c:pt>
                <c:pt idx="2">
                  <c:v>0</c:v>
                </c:pt>
                <c:pt idx="3">
                  <c:v>0</c:v>
                </c:pt>
              </c:numCache>
            </c:numRef>
          </c:val>
          <c:extLst>
            <c:ext xmlns:c16="http://schemas.microsoft.com/office/drawing/2014/chart" uri="{C3380CC4-5D6E-409C-BE32-E72D297353CC}">
              <c16:uniqueId val="{00000001-BA8F-4FDA-8250-D4026F2051BE}"/>
            </c:ext>
          </c:extLst>
        </c:ser>
        <c:ser>
          <c:idx val="2"/>
          <c:order val="2"/>
          <c:tx>
            <c:strRef>
              <c:f>Sheet1!$AU$13</c:f>
              <c:strCache>
                <c:ptCount val="1"/>
                <c:pt idx="0">
                  <c:v>Min</c:v>
                </c:pt>
              </c:strCache>
            </c:strRef>
          </c:tx>
          <c:spPr>
            <a:solidFill>
              <a:srgbClr val="E5A636"/>
            </a:solidFill>
            <a:ln>
              <a:noFill/>
            </a:ln>
            <a:effectLst/>
          </c:spPr>
          <c:invertIfNegative val="0"/>
          <c:val>
            <c:numRef>
              <c:f>Sheet1!$AU$14:$AU$17</c:f>
              <c:numCache>
                <c:formatCode>General</c:formatCode>
                <c:ptCount val="4"/>
                <c:pt idx="0">
                  <c:v>0</c:v>
                </c:pt>
                <c:pt idx="1">
                  <c:v>0</c:v>
                </c:pt>
                <c:pt idx="2">
                  <c:v>0</c:v>
                </c:pt>
                <c:pt idx="3" formatCode="_ [$₹-4009]\ * #,##0_ ;_ [$₹-4009]\ * \-#,##0_ ;_ [$₹-4009]\ * &quot;-&quot;??_ ;_ @_ ">
                  <c:v>4139</c:v>
                </c:pt>
              </c:numCache>
            </c:numRef>
          </c:val>
          <c:extLst>
            <c:ext xmlns:c16="http://schemas.microsoft.com/office/drawing/2014/chart" uri="{C3380CC4-5D6E-409C-BE32-E72D297353CC}">
              <c16:uniqueId val="{00000002-BA8F-4FDA-8250-D4026F2051BE}"/>
            </c:ext>
          </c:extLst>
        </c:ser>
        <c:dLbls>
          <c:showLegendKey val="0"/>
          <c:showVal val="0"/>
          <c:showCatName val="0"/>
          <c:showSerName val="0"/>
          <c:showPercent val="0"/>
          <c:showBubbleSize val="0"/>
        </c:dLbls>
        <c:gapWidth val="163"/>
        <c:overlap val="100"/>
        <c:axId val="1955036688"/>
        <c:axId val="1955043408"/>
      </c:barChart>
      <c:catAx>
        <c:axId val="195503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5043408"/>
        <c:crosses val="autoZero"/>
        <c:auto val="1"/>
        <c:lblAlgn val="ctr"/>
        <c:lblOffset val="100"/>
        <c:noMultiLvlLbl val="0"/>
      </c:catAx>
      <c:valAx>
        <c:axId val="1955043408"/>
        <c:scaling>
          <c:orientation val="minMax"/>
        </c:scaling>
        <c:delete val="1"/>
        <c:axPos val="l"/>
        <c:numFmt formatCode="_ [$₹-4009]\ * #,##0_ ;_ [$₹-4009]\ * \-#,##0_ ;_ [$₹-4009]\ * &quot;-&quot;??_ ;_ @_ " sourceLinked="1"/>
        <c:majorTickMark val="none"/>
        <c:minorTickMark val="none"/>
        <c:tickLblPos val="nextTo"/>
        <c:crossAx val="195503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Sheet1!$M$9"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5</xdr:row>
      <xdr:rowOff>28575</xdr:rowOff>
    </xdr:from>
    <xdr:to>
      <xdr:col>4</xdr:col>
      <xdr:colOff>151800</xdr:colOff>
      <xdr:row>9</xdr:row>
      <xdr:rowOff>66675</xdr:rowOff>
    </xdr:to>
    <xdr:grpSp>
      <xdr:nvGrpSpPr>
        <xdr:cNvPr id="10" name="Total_Revenue">
          <a:extLst>
            <a:ext uri="{FF2B5EF4-FFF2-40B4-BE49-F238E27FC236}">
              <a16:creationId xmlns:a16="http://schemas.microsoft.com/office/drawing/2014/main" id="{00000000-0008-0000-0100-00000A000000}"/>
            </a:ext>
          </a:extLst>
        </xdr:cNvPr>
        <xdr:cNvGrpSpPr/>
      </xdr:nvGrpSpPr>
      <xdr:grpSpPr>
        <a:xfrm>
          <a:off x="683419" y="981075"/>
          <a:ext cx="1897256" cy="800100"/>
          <a:chOff x="685800" y="219075"/>
          <a:chExt cx="1457326" cy="800100"/>
        </a:xfrm>
      </xdr:grpSpPr>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685800" y="219075"/>
            <a:ext cx="1457326" cy="800100"/>
          </a:xfrm>
          <a:prstGeom prst="roundRect">
            <a:avLst>
              <a:gd name="adj" fmla="val 8334"/>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95325" y="257175"/>
            <a:ext cx="125874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Revenue</a:t>
            </a:r>
          </a:p>
        </xdr:txBody>
      </xdr:sp>
      <xdr:sp macro="" textlink="Sheet1!B6">
        <xdr:nvSpPr>
          <xdr:cNvPr id="9" name="TextBox 8">
            <a:extLst>
              <a:ext uri="{FF2B5EF4-FFF2-40B4-BE49-F238E27FC236}">
                <a16:creationId xmlns:a16="http://schemas.microsoft.com/office/drawing/2014/main" id="{00000000-0008-0000-0100-000009000000}"/>
              </a:ext>
            </a:extLst>
          </xdr:cNvPr>
          <xdr:cNvSpPr txBox="1"/>
        </xdr:nvSpPr>
        <xdr:spPr>
          <a:xfrm>
            <a:off x="827600" y="533400"/>
            <a:ext cx="99527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961CBA-B61C-44BC-8D97-A501C9BD69A8}" type="TxLink">
              <a:rPr lang="en-US" sz="2000" b="1" i="0" u="none" strike="noStrike">
                <a:solidFill>
                  <a:srgbClr val="000000"/>
                </a:solidFill>
                <a:latin typeface="Calibri"/>
                <a:cs typeface="Calibri"/>
              </a:rPr>
              <a:pPr algn="ctr"/>
              <a:t>₹ 2,33,081</a:t>
            </a:fld>
            <a:endParaRPr lang="en-IN" sz="3200" b="1"/>
          </a:p>
        </xdr:txBody>
      </xdr:sp>
    </xdr:grpSp>
    <xdr:clientData/>
  </xdr:twoCellAnchor>
  <xdr:twoCellAnchor>
    <xdr:from>
      <xdr:col>3</xdr:col>
      <xdr:colOff>533400</xdr:colOff>
      <xdr:row>5</xdr:row>
      <xdr:rowOff>28575</xdr:rowOff>
    </xdr:from>
    <xdr:to>
      <xdr:col>6</xdr:col>
      <xdr:colOff>609000</xdr:colOff>
      <xdr:row>9</xdr:row>
      <xdr:rowOff>66675</xdr:rowOff>
    </xdr:to>
    <xdr:grpSp>
      <xdr:nvGrpSpPr>
        <xdr:cNvPr id="11" name="Total_Customer">
          <a:extLst>
            <a:ext uri="{FF2B5EF4-FFF2-40B4-BE49-F238E27FC236}">
              <a16:creationId xmlns:a16="http://schemas.microsoft.com/office/drawing/2014/main" id="{00000000-0008-0000-0100-00000B000000}"/>
            </a:ext>
          </a:extLst>
        </xdr:cNvPr>
        <xdr:cNvGrpSpPr/>
      </xdr:nvGrpSpPr>
      <xdr:grpSpPr>
        <a:xfrm>
          <a:off x="2355056" y="981075"/>
          <a:ext cx="1897257" cy="800100"/>
          <a:chOff x="685800" y="219075"/>
          <a:chExt cx="1457326" cy="800100"/>
        </a:xfrm>
      </xdr:grpSpPr>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685800" y="219075"/>
            <a:ext cx="1457326" cy="800100"/>
          </a:xfrm>
          <a:prstGeom prst="roundRect">
            <a:avLst>
              <a:gd name="adj" fmla="val 8334"/>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695325" y="257175"/>
            <a:ext cx="1156703"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Customer</a:t>
            </a:r>
          </a:p>
        </xdr:txBody>
      </xdr:sp>
      <xdr:sp macro="" textlink="Sheet1!C6">
        <xdr:nvSpPr>
          <xdr:cNvPr id="14" name="TextBox 13">
            <a:extLst>
              <a:ext uri="{FF2B5EF4-FFF2-40B4-BE49-F238E27FC236}">
                <a16:creationId xmlns:a16="http://schemas.microsoft.com/office/drawing/2014/main" id="{00000000-0008-0000-0100-00000E000000}"/>
              </a:ext>
            </a:extLst>
          </xdr:cNvPr>
          <xdr:cNvSpPr txBox="1"/>
        </xdr:nvSpPr>
        <xdr:spPr>
          <a:xfrm>
            <a:off x="797283" y="542925"/>
            <a:ext cx="71945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C22519-9F96-4520-9401-E915553539B3}" type="TxLink">
              <a:rPr lang="en-US" sz="2000" b="1" i="0" u="none" strike="noStrike">
                <a:solidFill>
                  <a:srgbClr val="000000"/>
                </a:solidFill>
                <a:latin typeface="Calibri"/>
                <a:cs typeface="Calibri"/>
              </a:rPr>
              <a:pPr algn="ctr"/>
              <a:t> 3,900 </a:t>
            </a:fld>
            <a:endParaRPr lang="en-IN" sz="5400" b="1"/>
          </a:p>
        </xdr:txBody>
      </xdr:sp>
    </xdr:grpSp>
    <xdr:clientData/>
  </xdr:twoCellAnchor>
  <xdr:twoCellAnchor>
    <xdr:from>
      <xdr:col>6</xdr:col>
      <xdr:colOff>381000</xdr:colOff>
      <xdr:row>5</xdr:row>
      <xdr:rowOff>28575</xdr:rowOff>
    </xdr:from>
    <xdr:to>
      <xdr:col>9</xdr:col>
      <xdr:colOff>456601</xdr:colOff>
      <xdr:row>9</xdr:row>
      <xdr:rowOff>66675</xdr:rowOff>
    </xdr:to>
    <xdr:grpSp>
      <xdr:nvGrpSpPr>
        <xdr:cNvPr id="15" name="Total Transactions">
          <a:extLst>
            <a:ext uri="{FF2B5EF4-FFF2-40B4-BE49-F238E27FC236}">
              <a16:creationId xmlns:a16="http://schemas.microsoft.com/office/drawing/2014/main" id="{00000000-0008-0000-0100-00000F000000}"/>
            </a:ext>
          </a:extLst>
        </xdr:cNvPr>
        <xdr:cNvGrpSpPr/>
      </xdr:nvGrpSpPr>
      <xdr:grpSpPr>
        <a:xfrm>
          <a:off x="4024313" y="981075"/>
          <a:ext cx="1897257" cy="800100"/>
          <a:chOff x="685800" y="219075"/>
          <a:chExt cx="1457326" cy="800100"/>
        </a:xfrm>
      </xdr:grpSpPr>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685800" y="219075"/>
            <a:ext cx="1457326" cy="800100"/>
          </a:xfrm>
          <a:prstGeom prst="roundRect">
            <a:avLst>
              <a:gd name="adj" fmla="val 8334"/>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722245" y="276225"/>
            <a:ext cx="118809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Transactions</a:t>
            </a:r>
          </a:p>
        </xdr:txBody>
      </xdr:sp>
      <xdr:sp macro="" textlink="Sheet1!D6">
        <xdr:nvSpPr>
          <xdr:cNvPr id="18" name="TextBox 17">
            <a:extLst>
              <a:ext uri="{FF2B5EF4-FFF2-40B4-BE49-F238E27FC236}">
                <a16:creationId xmlns:a16="http://schemas.microsoft.com/office/drawing/2014/main" id="{00000000-0008-0000-0100-000012000000}"/>
              </a:ext>
            </a:extLst>
          </xdr:cNvPr>
          <xdr:cNvSpPr txBox="1"/>
        </xdr:nvSpPr>
        <xdr:spPr>
          <a:xfrm>
            <a:off x="895349" y="552450"/>
            <a:ext cx="9715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6926D0-7763-4B8C-9BDE-853B7058749A}" type="TxLink">
              <a:rPr lang="en-US" sz="2000" b="1" i="0" u="none" strike="noStrike">
                <a:solidFill>
                  <a:srgbClr val="000000"/>
                </a:solidFill>
                <a:latin typeface="Calibri"/>
                <a:cs typeface="Calibri"/>
              </a:rPr>
              <a:pPr algn="ctr"/>
              <a:t> 3,900 </a:t>
            </a:fld>
            <a:endParaRPr lang="en-IN" sz="2000" b="1"/>
          </a:p>
        </xdr:txBody>
      </xdr:sp>
    </xdr:grpSp>
    <xdr:clientData/>
  </xdr:twoCellAnchor>
  <xdr:twoCellAnchor>
    <xdr:from>
      <xdr:col>9</xdr:col>
      <xdr:colOff>228600</xdr:colOff>
      <xdr:row>5</xdr:row>
      <xdr:rowOff>28575</xdr:rowOff>
    </xdr:from>
    <xdr:to>
      <xdr:col>12</xdr:col>
      <xdr:colOff>304200</xdr:colOff>
      <xdr:row>9</xdr:row>
      <xdr:rowOff>66675</xdr:rowOff>
    </xdr:to>
    <xdr:grpSp>
      <xdr:nvGrpSpPr>
        <xdr:cNvPr id="19" name="Average Order Value (AOV)">
          <a:extLst>
            <a:ext uri="{FF2B5EF4-FFF2-40B4-BE49-F238E27FC236}">
              <a16:creationId xmlns:a16="http://schemas.microsoft.com/office/drawing/2014/main" id="{00000000-0008-0000-0100-000013000000}"/>
            </a:ext>
          </a:extLst>
        </xdr:cNvPr>
        <xdr:cNvGrpSpPr/>
      </xdr:nvGrpSpPr>
      <xdr:grpSpPr>
        <a:xfrm>
          <a:off x="5693569" y="981075"/>
          <a:ext cx="1897256" cy="800100"/>
          <a:chOff x="685800" y="219075"/>
          <a:chExt cx="1457326" cy="800100"/>
        </a:xfrm>
      </xdr:grpSpPr>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685800" y="219075"/>
            <a:ext cx="1457326" cy="800100"/>
          </a:xfrm>
          <a:prstGeom prst="roundRect">
            <a:avLst>
              <a:gd name="adj" fmla="val 8334"/>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769872" y="266700"/>
            <a:ext cx="110284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Avg.</a:t>
            </a:r>
            <a:r>
              <a:rPr lang="en-IN" sz="1400" b="1" baseline="0"/>
              <a:t> </a:t>
            </a:r>
            <a:r>
              <a:rPr lang="en-IN" sz="1400" b="1"/>
              <a:t>Order Value</a:t>
            </a:r>
          </a:p>
        </xdr:txBody>
      </xdr:sp>
      <xdr:sp macro="" textlink="Sheet1!E6">
        <xdr:nvSpPr>
          <xdr:cNvPr id="22" name="TextBox 21">
            <a:extLst>
              <a:ext uri="{FF2B5EF4-FFF2-40B4-BE49-F238E27FC236}">
                <a16:creationId xmlns:a16="http://schemas.microsoft.com/office/drawing/2014/main" id="{00000000-0008-0000-0100-000016000000}"/>
              </a:ext>
            </a:extLst>
          </xdr:cNvPr>
          <xdr:cNvSpPr txBox="1"/>
        </xdr:nvSpPr>
        <xdr:spPr>
          <a:xfrm>
            <a:off x="970623" y="542925"/>
            <a:ext cx="695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A6F323-35B7-4D6E-B4D5-3F4A68ACE19E}" type="TxLink">
              <a:rPr lang="en-US" sz="2000" b="1" i="0" u="none" strike="noStrike">
                <a:solidFill>
                  <a:srgbClr val="000000"/>
                </a:solidFill>
                <a:latin typeface="Calibri"/>
                <a:cs typeface="Calibri"/>
              </a:rPr>
              <a:pPr algn="ctr"/>
              <a:t>₹ 60</a:t>
            </a:fld>
            <a:endParaRPr lang="en-IN" sz="3200" b="1"/>
          </a:p>
        </xdr:txBody>
      </xdr:sp>
    </xdr:grpSp>
    <xdr:clientData/>
  </xdr:twoCellAnchor>
  <xdr:twoCellAnchor>
    <xdr:from>
      <xdr:col>12</xdr:col>
      <xdr:colOff>76200</xdr:colOff>
      <xdr:row>5</xdr:row>
      <xdr:rowOff>28575</xdr:rowOff>
    </xdr:from>
    <xdr:to>
      <xdr:col>15</xdr:col>
      <xdr:colOff>151800</xdr:colOff>
      <xdr:row>9</xdr:row>
      <xdr:rowOff>66675</xdr:rowOff>
    </xdr:to>
    <xdr:grpSp>
      <xdr:nvGrpSpPr>
        <xdr:cNvPr id="23" name="Total_Revenue">
          <a:extLst>
            <a:ext uri="{FF2B5EF4-FFF2-40B4-BE49-F238E27FC236}">
              <a16:creationId xmlns:a16="http://schemas.microsoft.com/office/drawing/2014/main" id="{00000000-0008-0000-0100-000017000000}"/>
            </a:ext>
          </a:extLst>
        </xdr:cNvPr>
        <xdr:cNvGrpSpPr/>
      </xdr:nvGrpSpPr>
      <xdr:grpSpPr>
        <a:xfrm>
          <a:off x="7362825" y="981075"/>
          <a:ext cx="1897256" cy="800100"/>
          <a:chOff x="685800" y="219075"/>
          <a:chExt cx="1560196" cy="800100"/>
        </a:xfrm>
      </xdr:grpSpPr>
      <xdr:sp macro="" textlink="">
        <xdr:nvSpPr>
          <xdr:cNvPr id="24" name="Rectangle: Rounded Corners 23">
            <a:extLst>
              <a:ext uri="{FF2B5EF4-FFF2-40B4-BE49-F238E27FC236}">
                <a16:creationId xmlns:a16="http://schemas.microsoft.com/office/drawing/2014/main" id="{00000000-0008-0000-0100-000018000000}"/>
              </a:ext>
            </a:extLst>
          </xdr:cNvPr>
          <xdr:cNvSpPr/>
        </xdr:nvSpPr>
        <xdr:spPr>
          <a:xfrm>
            <a:off x="685800" y="219075"/>
            <a:ext cx="1560196" cy="800100"/>
          </a:xfrm>
          <a:prstGeom prst="roundRect">
            <a:avLst>
              <a:gd name="adj" fmla="val 8334"/>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695324" y="257175"/>
            <a:ext cx="134047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Avg. Review Rating</a:t>
            </a:r>
          </a:p>
        </xdr:txBody>
      </xdr:sp>
      <xdr:sp macro="" textlink="Sheet1!F6">
        <xdr:nvSpPr>
          <xdr:cNvPr id="26" name="TextBox 25">
            <a:extLst>
              <a:ext uri="{FF2B5EF4-FFF2-40B4-BE49-F238E27FC236}">
                <a16:creationId xmlns:a16="http://schemas.microsoft.com/office/drawing/2014/main" id="{00000000-0008-0000-0100-00001A000000}"/>
              </a:ext>
            </a:extLst>
          </xdr:cNvPr>
          <xdr:cNvSpPr txBox="1"/>
        </xdr:nvSpPr>
        <xdr:spPr>
          <a:xfrm>
            <a:off x="910265" y="514350"/>
            <a:ext cx="69634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5B411F-F5FF-43D5-8F27-BA43C63C4735}" type="TxLink">
              <a:rPr lang="en-US" sz="2000" b="1" i="0" u="none" strike="noStrike">
                <a:solidFill>
                  <a:srgbClr val="000000"/>
                </a:solidFill>
                <a:latin typeface="Calibri"/>
                <a:cs typeface="Calibri"/>
              </a:rPr>
              <a:pPr algn="ctr"/>
              <a:t>3.75</a:t>
            </a:fld>
            <a:endParaRPr lang="en-IN" sz="3200" b="1"/>
          </a:p>
        </xdr:txBody>
      </xdr:sp>
    </xdr:grpSp>
    <xdr:clientData/>
  </xdr:twoCellAnchor>
  <xdr:twoCellAnchor>
    <xdr:from>
      <xdr:col>14</xdr:col>
      <xdr:colOff>485748</xdr:colOff>
      <xdr:row>5</xdr:row>
      <xdr:rowOff>28575</xdr:rowOff>
    </xdr:from>
    <xdr:to>
      <xdr:col>18</xdr:col>
      <xdr:colOff>38100</xdr:colOff>
      <xdr:row>9</xdr:row>
      <xdr:rowOff>66675</xdr:rowOff>
    </xdr:to>
    <xdr:grpSp>
      <xdr:nvGrpSpPr>
        <xdr:cNvPr id="27" name="Total_Revenue">
          <a:extLst>
            <a:ext uri="{FF2B5EF4-FFF2-40B4-BE49-F238E27FC236}">
              <a16:creationId xmlns:a16="http://schemas.microsoft.com/office/drawing/2014/main" id="{00000000-0008-0000-0100-00001B000000}"/>
            </a:ext>
          </a:extLst>
        </xdr:cNvPr>
        <xdr:cNvGrpSpPr/>
      </xdr:nvGrpSpPr>
      <xdr:grpSpPr>
        <a:xfrm>
          <a:off x="8986811" y="981075"/>
          <a:ext cx="1981227" cy="800100"/>
          <a:chOff x="649334" y="219075"/>
          <a:chExt cx="1523406" cy="800100"/>
        </a:xfrm>
      </xdr:grpSpPr>
      <xdr:sp macro="" textlink="">
        <xdr:nvSpPr>
          <xdr:cNvPr id="28" name="Rectangle: Rounded Corners 27">
            <a:extLst>
              <a:ext uri="{FF2B5EF4-FFF2-40B4-BE49-F238E27FC236}">
                <a16:creationId xmlns:a16="http://schemas.microsoft.com/office/drawing/2014/main" id="{00000000-0008-0000-0100-00001C000000}"/>
              </a:ext>
            </a:extLst>
          </xdr:cNvPr>
          <xdr:cNvSpPr/>
        </xdr:nvSpPr>
        <xdr:spPr>
          <a:xfrm>
            <a:off x="685800" y="219075"/>
            <a:ext cx="1457326" cy="800100"/>
          </a:xfrm>
          <a:prstGeom prst="roundRect">
            <a:avLst>
              <a:gd name="adj" fmla="val 8334"/>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649334" y="257176"/>
            <a:ext cx="152340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Avg. Previous Purchases</a:t>
            </a:r>
          </a:p>
        </xdr:txBody>
      </xdr:sp>
      <xdr:sp macro="" textlink="Sheet1!G6">
        <xdr:nvSpPr>
          <xdr:cNvPr id="30" name="TextBox 29">
            <a:extLst>
              <a:ext uri="{FF2B5EF4-FFF2-40B4-BE49-F238E27FC236}">
                <a16:creationId xmlns:a16="http://schemas.microsoft.com/office/drawing/2014/main" id="{00000000-0008-0000-0100-00001E000000}"/>
              </a:ext>
            </a:extLst>
          </xdr:cNvPr>
          <xdr:cNvSpPr txBox="1"/>
        </xdr:nvSpPr>
        <xdr:spPr>
          <a:xfrm>
            <a:off x="991933" y="523875"/>
            <a:ext cx="45191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E643BA-0D2F-48C1-95BD-5CE7CCCA6E45}" type="TxLink">
              <a:rPr lang="en-US" sz="2000" b="1" i="0" u="none" strike="noStrike">
                <a:solidFill>
                  <a:srgbClr val="000000"/>
                </a:solidFill>
                <a:latin typeface="Calibri"/>
                <a:cs typeface="Calibri"/>
              </a:rPr>
              <a:pPr algn="ctr"/>
              <a:t>25</a:t>
            </a:fld>
            <a:endParaRPr lang="en-IN" sz="2000" b="1"/>
          </a:p>
        </xdr:txBody>
      </xdr:sp>
    </xdr:grpSp>
    <xdr:clientData/>
  </xdr:twoCellAnchor>
  <xdr:twoCellAnchor>
    <xdr:from>
      <xdr:col>1</xdr:col>
      <xdr:colOff>85725</xdr:colOff>
      <xdr:row>9</xdr:row>
      <xdr:rowOff>133350</xdr:rowOff>
    </xdr:from>
    <xdr:to>
      <xdr:col>8</xdr:col>
      <xdr:colOff>257175</xdr:colOff>
      <xdr:row>22</xdr:row>
      <xdr:rowOff>161925</xdr:rowOff>
    </xdr:to>
    <xdr:sp macro="" textlink="">
      <xdr:nvSpPr>
        <xdr:cNvPr id="31" name="Rectangle: Rounded Corners 30">
          <a:extLst>
            <a:ext uri="{FF2B5EF4-FFF2-40B4-BE49-F238E27FC236}">
              <a16:creationId xmlns:a16="http://schemas.microsoft.com/office/drawing/2014/main" id="{00000000-0008-0000-0100-00001F000000}"/>
            </a:ext>
          </a:extLst>
        </xdr:cNvPr>
        <xdr:cNvSpPr/>
      </xdr:nvSpPr>
      <xdr:spPr>
        <a:xfrm>
          <a:off x="695325" y="1466850"/>
          <a:ext cx="4438650" cy="2505075"/>
        </a:xfrm>
        <a:prstGeom prst="roundRect">
          <a:avLst>
            <a:gd name="adj" fmla="val 4069"/>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485776</xdr:colOff>
      <xdr:row>12</xdr:row>
      <xdr:rowOff>57150</xdr:rowOff>
    </xdr:from>
    <xdr:to>
      <xdr:col>8</xdr:col>
      <xdr:colOff>219076</xdr:colOff>
      <xdr:row>20</xdr:row>
      <xdr:rowOff>161925</xdr:rowOff>
    </xdr:to>
    <xdr:graphicFrame macro="">
      <xdr:nvGraphicFramePr>
        <xdr:cNvPr id="32" name="Chart 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123826</xdr:colOff>
      <xdr:row>12</xdr:row>
      <xdr:rowOff>76200</xdr:rowOff>
    </xdr:from>
    <xdr:to>
      <xdr:col>4</xdr:col>
      <xdr:colOff>95250</xdr:colOff>
      <xdr:row>21</xdr:row>
      <xdr:rowOff>9525</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10</xdr:row>
      <xdr:rowOff>95250</xdr:rowOff>
    </xdr:from>
    <xdr:to>
      <xdr:col>5</xdr:col>
      <xdr:colOff>571499</xdr:colOff>
      <xdr:row>11</xdr:row>
      <xdr:rowOff>180975</xdr:rowOff>
    </xdr:to>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866900" y="1619250"/>
          <a:ext cx="1752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Category</a:t>
          </a:r>
          <a:r>
            <a:rPr lang="en-IN" sz="1400" b="1" baseline="0"/>
            <a:t> Wise Sales</a:t>
          </a:r>
          <a:endParaRPr lang="en-IN" sz="1400" b="1"/>
        </a:p>
      </xdr:txBody>
    </xdr:sp>
    <xdr:clientData/>
  </xdr:twoCellAnchor>
  <xdr:twoCellAnchor>
    <xdr:from>
      <xdr:col>2</xdr:col>
      <xdr:colOff>400050</xdr:colOff>
      <xdr:row>21</xdr:row>
      <xdr:rowOff>19050</xdr:rowOff>
    </xdr:from>
    <xdr:to>
      <xdr:col>2</xdr:col>
      <xdr:colOff>552450</xdr:colOff>
      <xdr:row>21</xdr:row>
      <xdr:rowOff>171450</xdr:rowOff>
    </xdr:to>
    <xdr:sp macro="" textlink="">
      <xdr:nvSpPr>
        <xdr:cNvPr id="37" name="Diamond 36">
          <a:extLst>
            <a:ext uri="{FF2B5EF4-FFF2-40B4-BE49-F238E27FC236}">
              <a16:creationId xmlns:a16="http://schemas.microsoft.com/office/drawing/2014/main" id="{00000000-0008-0000-0100-000025000000}"/>
            </a:ext>
          </a:extLst>
        </xdr:cNvPr>
        <xdr:cNvSpPr/>
      </xdr:nvSpPr>
      <xdr:spPr>
        <a:xfrm>
          <a:off x="1619250" y="3638550"/>
          <a:ext cx="152400" cy="152400"/>
        </a:xfrm>
        <a:prstGeom prst="diamond">
          <a:avLst/>
        </a:prstGeom>
        <a:solidFill>
          <a:srgbClr val="3354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581026</xdr:colOff>
      <xdr:row>20</xdr:row>
      <xdr:rowOff>161925</xdr:rowOff>
    </xdr:from>
    <xdr:to>
      <xdr:col>4</xdr:col>
      <xdr:colOff>352425</xdr:colOff>
      <xdr:row>22</xdr:row>
      <xdr:rowOff>38100</xdr:rowOff>
    </xdr:to>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800226" y="3590925"/>
          <a:ext cx="9905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Transactions</a:t>
          </a:r>
        </a:p>
      </xdr:txBody>
    </xdr:sp>
    <xdr:clientData/>
  </xdr:twoCellAnchor>
  <xdr:twoCellAnchor>
    <xdr:from>
      <xdr:col>5</xdr:col>
      <xdr:colOff>9525</xdr:colOff>
      <xdr:row>21</xdr:row>
      <xdr:rowOff>28575</xdr:rowOff>
    </xdr:from>
    <xdr:to>
      <xdr:col>5</xdr:col>
      <xdr:colOff>161925</xdr:colOff>
      <xdr:row>21</xdr:row>
      <xdr:rowOff>180975</xdr:rowOff>
    </xdr:to>
    <xdr:sp macro="" textlink="">
      <xdr:nvSpPr>
        <xdr:cNvPr id="39" name="Diamond 38">
          <a:extLst>
            <a:ext uri="{FF2B5EF4-FFF2-40B4-BE49-F238E27FC236}">
              <a16:creationId xmlns:a16="http://schemas.microsoft.com/office/drawing/2014/main" id="{00000000-0008-0000-0100-000027000000}"/>
            </a:ext>
          </a:extLst>
        </xdr:cNvPr>
        <xdr:cNvSpPr/>
      </xdr:nvSpPr>
      <xdr:spPr>
        <a:xfrm>
          <a:off x="3057525" y="3648075"/>
          <a:ext cx="152400" cy="152400"/>
        </a:xfrm>
        <a:prstGeom prst="diamond">
          <a:avLst/>
        </a:prstGeom>
        <a:solidFill>
          <a:srgbClr val="3354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123825</xdr:colOff>
      <xdr:row>21</xdr:row>
      <xdr:rowOff>1</xdr:rowOff>
    </xdr:from>
    <xdr:to>
      <xdr:col>6</xdr:col>
      <xdr:colOff>333375</xdr:colOff>
      <xdr:row>22</xdr:row>
      <xdr:rowOff>38101</xdr:rowOff>
    </xdr:to>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3171825" y="3619501"/>
          <a:ext cx="819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Revenue</a:t>
          </a:r>
        </a:p>
      </xdr:txBody>
    </xdr:sp>
    <xdr:clientData/>
  </xdr:twoCellAnchor>
  <xdr:twoCellAnchor>
    <xdr:from>
      <xdr:col>8</xdr:col>
      <xdr:colOff>314325</xdr:colOff>
      <xdr:row>9</xdr:row>
      <xdr:rowOff>152400</xdr:rowOff>
    </xdr:from>
    <xdr:to>
      <xdr:col>18</xdr:col>
      <xdr:colOff>9525</xdr:colOff>
      <xdr:row>22</xdr:row>
      <xdr:rowOff>152400</xdr:rowOff>
    </xdr:to>
    <xdr:sp macro="" textlink="">
      <xdr:nvSpPr>
        <xdr:cNvPr id="41" name="Rectangle: Rounded Corners 40">
          <a:extLst>
            <a:ext uri="{FF2B5EF4-FFF2-40B4-BE49-F238E27FC236}">
              <a16:creationId xmlns:a16="http://schemas.microsoft.com/office/drawing/2014/main" id="{00000000-0008-0000-0100-000029000000}"/>
            </a:ext>
          </a:extLst>
        </xdr:cNvPr>
        <xdr:cNvSpPr/>
      </xdr:nvSpPr>
      <xdr:spPr>
        <a:xfrm>
          <a:off x="5191125" y="1485900"/>
          <a:ext cx="5791200" cy="2476500"/>
        </a:xfrm>
        <a:prstGeom prst="roundRect">
          <a:avLst>
            <a:gd name="adj" fmla="val 4069"/>
          </a:avLst>
        </a:prstGeom>
        <a:solidFill>
          <a:sysClr val="window" lastClr="FFFFFF"/>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514350</xdr:colOff>
      <xdr:row>9</xdr:row>
      <xdr:rowOff>142875</xdr:rowOff>
    </xdr:from>
    <xdr:to>
      <xdr:col>12</xdr:col>
      <xdr:colOff>533400</xdr:colOff>
      <xdr:row>22</xdr:row>
      <xdr:rowOff>152400</xdr:rowOff>
    </xdr:to>
    <xdr:cxnSp macro="">
      <xdr:nvCxnSpPr>
        <xdr:cNvPr id="33" name="Straight Connector 32">
          <a:extLst>
            <a:ext uri="{FF2B5EF4-FFF2-40B4-BE49-F238E27FC236}">
              <a16:creationId xmlns:a16="http://schemas.microsoft.com/office/drawing/2014/main" id="{00000000-0008-0000-0100-000021000000}"/>
            </a:ext>
          </a:extLst>
        </xdr:cNvPr>
        <xdr:cNvCxnSpPr/>
      </xdr:nvCxnSpPr>
      <xdr:spPr>
        <a:xfrm flipH="1">
          <a:off x="7829550" y="1476375"/>
          <a:ext cx="19050" cy="2486025"/>
        </a:xfrm>
        <a:prstGeom prst="line">
          <a:avLst/>
        </a:prstGeom>
        <a:ln w="15875">
          <a:solidFill>
            <a:srgbClr val="E7E4DD"/>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361951</xdr:colOff>
      <xdr:row>10</xdr:row>
      <xdr:rowOff>28575</xdr:rowOff>
    </xdr:from>
    <xdr:to>
      <xdr:col>12</xdr:col>
      <xdr:colOff>476251</xdr:colOff>
      <xdr:row>12</xdr:row>
      <xdr:rowOff>19051</xdr:rowOff>
    </xdr:to>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5238751" y="1552575"/>
          <a:ext cx="255270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Gender Wise Sales Contribution</a:t>
          </a:r>
          <a:endParaRPr lang="en-IN" sz="1400" b="1"/>
        </a:p>
      </xdr:txBody>
    </xdr:sp>
    <xdr:clientData/>
  </xdr:twoCellAnchor>
  <xdr:twoCellAnchor>
    <xdr:from>
      <xdr:col>13</xdr:col>
      <xdr:colOff>333375</xdr:colOff>
      <xdr:row>10</xdr:row>
      <xdr:rowOff>76200</xdr:rowOff>
    </xdr:from>
    <xdr:to>
      <xdr:col>17</xdr:col>
      <xdr:colOff>342900</xdr:colOff>
      <xdr:row>11</xdr:row>
      <xdr:rowOff>142875</xdr:rowOff>
    </xdr:to>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8258175" y="1600200"/>
          <a:ext cx="2447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Size </a:t>
          </a:r>
          <a:r>
            <a:rPr lang="en-IN" sz="1400" b="1" baseline="0"/>
            <a:t>Wise Sales Contribution</a:t>
          </a:r>
          <a:endParaRPr lang="en-IN" sz="1400" b="1"/>
        </a:p>
      </xdr:txBody>
    </xdr:sp>
    <xdr:clientData/>
  </xdr:twoCellAnchor>
  <xdr:twoCellAnchor>
    <xdr:from>
      <xdr:col>1</xdr:col>
      <xdr:colOff>85725</xdr:colOff>
      <xdr:row>23</xdr:row>
      <xdr:rowOff>28575</xdr:rowOff>
    </xdr:from>
    <xdr:to>
      <xdr:col>8</xdr:col>
      <xdr:colOff>257175</xdr:colOff>
      <xdr:row>35</xdr:row>
      <xdr:rowOff>95250</xdr:rowOff>
    </xdr:to>
    <xdr:sp macro="" textlink="">
      <xdr:nvSpPr>
        <xdr:cNvPr id="45" name="Rectangle: Rounded Corners 44">
          <a:extLst>
            <a:ext uri="{FF2B5EF4-FFF2-40B4-BE49-F238E27FC236}">
              <a16:creationId xmlns:a16="http://schemas.microsoft.com/office/drawing/2014/main" id="{00000000-0008-0000-0100-00002D000000}"/>
            </a:ext>
          </a:extLst>
        </xdr:cNvPr>
        <xdr:cNvSpPr/>
      </xdr:nvSpPr>
      <xdr:spPr>
        <a:xfrm>
          <a:off x="695325" y="4029075"/>
          <a:ext cx="4438650" cy="2352675"/>
        </a:xfrm>
        <a:prstGeom prst="roundRect">
          <a:avLst>
            <a:gd name="adj" fmla="val 4069"/>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323850</xdr:colOff>
      <xdr:row>11</xdr:row>
      <xdr:rowOff>152401</xdr:rowOff>
    </xdr:from>
    <xdr:to>
      <xdr:col>12</xdr:col>
      <xdr:colOff>428625</xdr:colOff>
      <xdr:row>22</xdr:row>
      <xdr:rowOff>95251</xdr:rowOff>
    </xdr:to>
    <xdr:graphicFrame macro="">
      <xdr:nvGraphicFramePr>
        <xdr:cNvPr id="46" name="Chart 45">
          <a:extLst>
            <a:ext uri="{FF2B5EF4-FFF2-40B4-BE49-F238E27FC236}">
              <a16:creationId xmlns:a16="http://schemas.microsoft.com/office/drawing/2014/main" id="{00000000-0008-0000-01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561974</xdr:colOff>
      <xdr:row>11</xdr:row>
      <xdr:rowOff>142876</xdr:rowOff>
    </xdr:from>
    <xdr:to>
      <xdr:col>17</xdr:col>
      <xdr:colOff>514349</xdr:colOff>
      <xdr:row>22</xdr:row>
      <xdr:rowOff>119064</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323850</xdr:colOff>
          <xdr:row>27</xdr:row>
          <xdr:rowOff>171450</xdr:rowOff>
        </xdr:from>
        <xdr:to>
          <xdr:col>6</xdr:col>
          <xdr:colOff>514350</xdr:colOff>
          <xdr:row>28</xdr:row>
          <xdr:rowOff>171450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152400</xdr:colOff>
      <xdr:row>25</xdr:row>
      <xdr:rowOff>104775</xdr:rowOff>
    </xdr:from>
    <xdr:to>
      <xdr:col>6</xdr:col>
      <xdr:colOff>304800</xdr:colOff>
      <xdr:row>35</xdr:row>
      <xdr:rowOff>47625</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314325</xdr:colOff>
          <xdr:row>29</xdr:row>
          <xdr:rowOff>114300</xdr:rowOff>
        </xdr:from>
        <xdr:to>
          <xdr:col>6</xdr:col>
          <xdr:colOff>504825</xdr:colOff>
          <xdr:row>30</xdr:row>
          <xdr:rowOff>114300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504826</xdr:colOff>
      <xdr:row>27</xdr:row>
      <xdr:rowOff>180976</xdr:rowOff>
    </xdr:from>
    <xdr:to>
      <xdr:col>8</xdr:col>
      <xdr:colOff>85726</xdr:colOff>
      <xdr:row>29</xdr:row>
      <xdr:rowOff>9526</xdr:rowOff>
    </xdr:to>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4162426" y="4943476"/>
          <a:ext cx="8001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Top Sales</a:t>
          </a:r>
        </a:p>
        <a:p>
          <a:endParaRPr lang="en-IN" sz="1100"/>
        </a:p>
      </xdr:txBody>
    </xdr:sp>
    <xdr:clientData/>
  </xdr:twoCellAnchor>
  <xdr:twoCellAnchor>
    <xdr:from>
      <xdr:col>6</xdr:col>
      <xdr:colOff>514350</xdr:colOff>
      <xdr:row>29</xdr:row>
      <xdr:rowOff>104775</xdr:rowOff>
    </xdr:from>
    <xdr:to>
      <xdr:col>8</xdr:col>
      <xdr:colOff>238126</xdr:colOff>
      <xdr:row>30</xdr:row>
      <xdr:rowOff>133350</xdr:rowOff>
    </xdr:to>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4171950" y="5248275"/>
          <a:ext cx="942976"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Below Sales</a:t>
          </a:r>
        </a:p>
      </xdr:txBody>
    </xdr:sp>
    <xdr:clientData/>
  </xdr:twoCellAnchor>
  <xdr:twoCellAnchor>
    <xdr:from>
      <xdr:col>2</xdr:col>
      <xdr:colOff>371475</xdr:colOff>
      <xdr:row>23</xdr:row>
      <xdr:rowOff>133350</xdr:rowOff>
    </xdr:from>
    <xdr:to>
      <xdr:col>7</xdr:col>
      <xdr:colOff>276225</xdr:colOff>
      <xdr:row>25</xdr:row>
      <xdr:rowOff>28575</xdr:rowOff>
    </xdr:to>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590675" y="4133850"/>
          <a:ext cx="29527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Sub</a:t>
          </a:r>
          <a:r>
            <a:rPr lang="en-IN" sz="1400" b="1" baseline="0"/>
            <a:t> </a:t>
          </a:r>
          <a:r>
            <a:rPr lang="en-IN" sz="1400" b="1"/>
            <a:t>Category</a:t>
          </a:r>
          <a:r>
            <a:rPr lang="en-IN" sz="1400" b="1" baseline="0"/>
            <a:t> Wise Sales Performing</a:t>
          </a:r>
          <a:endParaRPr lang="en-IN" sz="1400" b="1"/>
        </a:p>
      </xdr:txBody>
    </xdr:sp>
    <xdr:clientData/>
  </xdr:twoCellAnchor>
  <xdr:twoCellAnchor>
    <xdr:from>
      <xdr:col>8</xdr:col>
      <xdr:colOff>314325</xdr:colOff>
      <xdr:row>23</xdr:row>
      <xdr:rowOff>28575</xdr:rowOff>
    </xdr:from>
    <xdr:to>
      <xdr:col>14</xdr:col>
      <xdr:colOff>219075</xdr:colOff>
      <xdr:row>35</xdr:row>
      <xdr:rowOff>114300</xdr:rowOff>
    </xdr:to>
    <xdr:sp macro="" textlink="">
      <xdr:nvSpPr>
        <xdr:cNvPr id="53" name="Rectangle: Rounded Corners 52">
          <a:extLst>
            <a:ext uri="{FF2B5EF4-FFF2-40B4-BE49-F238E27FC236}">
              <a16:creationId xmlns:a16="http://schemas.microsoft.com/office/drawing/2014/main" id="{00000000-0008-0000-0100-000035000000}"/>
            </a:ext>
          </a:extLst>
        </xdr:cNvPr>
        <xdr:cNvSpPr/>
      </xdr:nvSpPr>
      <xdr:spPr>
        <a:xfrm>
          <a:off x="5191125" y="4029075"/>
          <a:ext cx="3562350" cy="2371725"/>
        </a:xfrm>
        <a:prstGeom prst="roundRect">
          <a:avLst>
            <a:gd name="adj" fmla="val 4069"/>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361948</xdr:colOff>
      <xdr:row>25</xdr:row>
      <xdr:rowOff>85725</xdr:rowOff>
    </xdr:from>
    <xdr:to>
      <xdr:col>14</xdr:col>
      <xdr:colOff>114300</xdr:colOff>
      <xdr:row>35</xdr:row>
      <xdr:rowOff>38100</xdr:rowOff>
    </xdr:to>
    <xdr:graphicFrame macro="">
      <xdr:nvGraphicFramePr>
        <xdr:cNvPr id="54" name="Chart 53">
          <a:extLst>
            <a:ext uri="{FF2B5EF4-FFF2-40B4-BE49-F238E27FC236}">
              <a16:creationId xmlns:a16="http://schemas.microsoft.com/office/drawing/2014/main" id="{00000000-0008-0000-01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161926</xdr:colOff>
      <xdr:row>23</xdr:row>
      <xdr:rowOff>133350</xdr:rowOff>
    </xdr:from>
    <xdr:to>
      <xdr:col>12</xdr:col>
      <xdr:colOff>523876</xdr:colOff>
      <xdr:row>25</xdr:row>
      <xdr:rowOff>9525</xdr:rowOff>
    </xdr:to>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6257926" y="4133850"/>
          <a:ext cx="15811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Payment Method</a:t>
          </a:r>
        </a:p>
      </xdr:txBody>
    </xdr:sp>
    <xdr:clientData/>
  </xdr:twoCellAnchor>
  <xdr:twoCellAnchor>
    <xdr:from>
      <xdr:col>14</xdr:col>
      <xdr:colOff>285749</xdr:colOff>
      <xdr:row>23</xdr:row>
      <xdr:rowOff>28575</xdr:rowOff>
    </xdr:from>
    <xdr:to>
      <xdr:col>20</xdr:col>
      <xdr:colOff>595312</xdr:colOff>
      <xdr:row>35</xdr:row>
      <xdr:rowOff>114300</xdr:rowOff>
    </xdr:to>
    <xdr:sp macro="" textlink="">
      <xdr:nvSpPr>
        <xdr:cNvPr id="58" name="Rectangle: Rounded Corners 57">
          <a:extLst>
            <a:ext uri="{FF2B5EF4-FFF2-40B4-BE49-F238E27FC236}">
              <a16:creationId xmlns:a16="http://schemas.microsoft.com/office/drawing/2014/main" id="{00000000-0008-0000-0100-00003A000000}"/>
            </a:ext>
          </a:extLst>
        </xdr:cNvPr>
        <xdr:cNvSpPr/>
      </xdr:nvSpPr>
      <xdr:spPr>
        <a:xfrm>
          <a:off x="8786812" y="4410075"/>
          <a:ext cx="3952875" cy="2371725"/>
        </a:xfrm>
        <a:prstGeom prst="roundRect">
          <a:avLst>
            <a:gd name="adj" fmla="val 4069"/>
          </a:avLst>
        </a:prstGeom>
        <a:solidFill>
          <a:schemeClr val="bg1"/>
        </a:solid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314325</xdr:colOff>
      <xdr:row>26</xdr:row>
      <xdr:rowOff>28575</xdr:rowOff>
    </xdr:from>
    <xdr:to>
      <xdr:col>20</xdr:col>
      <xdr:colOff>345281</xdr:colOff>
      <xdr:row>35</xdr:row>
      <xdr:rowOff>66675</xdr:rowOff>
    </xdr:to>
    <xdr:graphicFrame macro="">
      <xdr:nvGraphicFramePr>
        <xdr:cNvPr id="59" name="Chart 58">
          <a:extLst>
            <a:ext uri="{FF2B5EF4-FFF2-40B4-BE49-F238E27FC236}">
              <a16:creationId xmlns:a16="http://schemas.microsoft.com/office/drawing/2014/main" id="{00000000-0008-0000-01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259557</xdr:colOff>
      <xdr:row>23</xdr:row>
      <xdr:rowOff>166688</xdr:rowOff>
    </xdr:from>
    <xdr:to>
      <xdr:col>18</xdr:col>
      <xdr:colOff>590550</xdr:colOff>
      <xdr:row>25</xdr:row>
      <xdr:rowOff>42863</xdr:rowOff>
    </xdr:to>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9975057" y="4167188"/>
          <a:ext cx="154543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Age - Group Sales</a:t>
          </a:r>
        </a:p>
      </xdr:txBody>
    </xdr:sp>
    <xdr:clientData/>
  </xdr:twoCellAnchor>
  <xdr:twoCellAnchor>
    <xdr:from>
      <xdr:col>18</xdr:col>
      <xdr:colOff>76198</xdr:colOff>
      <xdr:row>5</xdr:row>
      <xdr:rowOff>58882</xdr:rowOff>
    </xdr:from>
    <xdr:to>
      <xdr:col>20</xdr:col>
      <xdr:colOff>535780</xdr:colOff>
      <xdr:row>13</xdr:row>
      <xdr:rowOff>93517</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7F5C4113-3E8B-41B8-88DE-03B343D0B71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1006136" y="1011382"/>
              <a:ext cx="1674019" cy="1558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142875</xdr:colOff>
      <xdr:row>2</xdr:row>
      <xdr:rowOff>138112</xdr:rowOff>
    </xdr:from>
    <xdr:to>
      <xdr:col>20</xdr:col>
      <xdr:colOff>500063</xdr:colOff>
      <xdr:row>4</xdr:row>
      <xdr:rowOff>178593</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0D45D7C3-A5A4-449B-9B53-4CD4F8D09B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465594" y="519112"/>
              <a:ext cx="2178844" cy="421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76200</xdr:colOff>
      <xdr:row>2</xdr:row>
      <xdr:rowOff>104776</xdr:rowOff>
    </xdr:from>
    <xdr:to>
      <xdr:col>9</xdr:col>
      <xdr:colOff>95250</xdr:colOff>
      <xdr:row>4</xdr:row>
      <xdr:rowOff>180976</xdr:rowOff>
    </xdr:to>
    <xdr:sp macro="" textlink="">
      <xdr:nvSpPr>
        <xdr:cNvPr id="42" name="Rectangle: Rounded Corners 41">
          <a:extLst>
            <a:ext uri="{FF2B5EF4-FFF2-40B4-BE49-F238E27FC236}">
              <a16:creationId xmlns:a16="http://schemas.microsoft.com/office/drawing/2014/main" id="{9237C29E-D512-53BE-69E2-D030EE5625C0}"/>
            </a:ext>
          </a:extLst>
        </xdr:cNvPr>
        <xdr:cNvSpPr/>
      </xdr:nvSpPr>
      <xdr:spPr>
        <a:xfrm>
          <a:off x="685800" y="104776"/>
          <a:ext cx="4895850" cy="457200"/>
        </a:xfrm>
        <a:prstGeom prst="roundRect">
          <a:avLst/>
        </a:prstGeom>
        <a:noFill/>
        <a:ln w="15875">
          <a:solidFill>
            <a:srgbClr val="E7E4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152400</xdr:colOff>
      <xdr:row>2</xdr:row>
      <xdr:rowOff>133350</xdr:rowOff>
    </xdr:from>
    <xdr:to>
      <xdr:col>9</xdr:col>
      <xdr:colOff>28576</xdr:colOff>
      <xdr:row>4</xdr:row>
      <xdr:rowOff>114300</xdr:rowOff>
    </xdr:to>
    <xdr:sp macro="" textlink="">
      <xdr:nvSpPr>
        <xdr:cNvPr id="51" name="TextBox 50">
          <a:extLst>
            <a:ext uri="{FF2B5EF4-FFF2-40B4-BE49-F238E27FC236}">
              <a16:creationId xmlns:a16="http://schemas.microsoft.com/office/drawing/2014/main" id="{12B9F1C3-4143-04D1-2CB3-3EDBDC873A88}"/>
            </a:ext>
          </a:extLst>
        </xdr:cNvPr>
        <xdr:cNvSpPr txBox="1"/>
      </xdr:nvSpPr>
      <xdr:spPr>
        <a:xfrm>
          <a:off x="762000" y="133350"/>
          <a:ext cx="47529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mn-lt"/>
            </a:rPr>
            <a:t>Customer</a:t>
          </a:r>
          <a:r>
            <a:rPr lang="en-IN" sz="2800" b="1" baseline="0">
              <a:latin typeface="+mn-lt"/>
            </a:rPr>
            <a:t> Shopping Behaviour</a:t>
          </a:r>
          <a:endParaRPr lang="en-IN" sz="2800" b="1">
            <a:latin typeface="+mn-lt"/>
          </a:endParaRPr>
        </a:p>
      </xdr:txBody>
    </xdr:sp>
    <xdr:clientData/>
  </xdr:twoCellAnchor>
  <xdr:twoCellAnchor editAs="oneCell">
    <xdr:from>
      <xdr:col>9</xdr:col>
      <xdr:colOff>214313</xdr:colOff>
      <xdr:row>2</xdr:row>
      <xdr:rowOff>142873</xdr:rowOff>
    </xdr:from>
    <xdr:to>
      <xdr:col>17</xdr:col>
      <xdr:colOff>95250</xdr:colOff>
      <xdr:row>4</xdr:row>
      <xdr:rowOff>178592</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80576862-6F11-4341-BC74-6966EE6327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79281" y="142873"/>
              <a:ext cx="6643688" cy="416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83342</xdr:colOff>
      <xdr:row>13</xdr:row>
      <xdr:rowOff>166687</xdr:rowOff>
    </xdr:from>
    <xdr:to>
      <xdr:col>20</xdr:col>
      <xdr:colOff>552355</xdr:colOff>
      <xdr:row>22</xdr:row>
      <xdr:rowOff>130969</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D75DD7BB-3583-4E72-AC4A-E62220116BC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013280" y="2643187"/>
              <a:ext cx="1683450" cy="1678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08845370371" backgroundQuery="1" createdVersion="8" refreshedVersion="8" minRefreshableVersion="3" recordCount="0" supportSubquery="1" supportAdvancedDrill="1" xr:uid="{8E4525EC-6E60-441E-976A-7535428CD940}">
  <cacheSource type="external" connectionId="3"/>
  <cacheFields count="9">
    <cacheField name="[shopping_behavior_updated].[Item Purchased].[Item Purchased]" caption="Item Purchased" numFmtId="0" hierarchy="4" level="1">
      <sharedItems count="10">
        <s v="Belt"/>
        <s v="Blouse"/>
        <s v="Dress"/>
        <s v="Jewelry"/>
        <s v="Pants"/>
        <s v="Scarf"/>
        <s v="Shirt"/>
        <s v="Shorts"/>
        <s v="Sunglasses"/>
        <s v="Sweater"/>
      </sharedItems>
    </cacheField>
    <cacheField name="[Measures].[Total_Revenue]" caption="Total_Revenue" numFmtId="0" hierarchy="21" level="32767"/>
    <cacheField name="[shopping_behavior_updated].[Size].[Size]" caption="Size" numFmtId="0" hierarchy="8" level="1">
      <sharedItems count="4">
        <s v="L"/>
        <s v="M"/>
        <s v="S"/>
        <s v="XL"/>
      </sharedItems>
    </cacheField>
    <cacheField name="[shopping_behavior_updated].[Payment Method].[Payment Method]" caption="Payment Method" numFmtId="0" hierarchy="17" level="1">
      <sharedItems count="6">
        <s v="Bank Transfer"/>
        <s v="Cash"/>
        <s v="Credit Card"/>
        <s v="Debit Card"/>
        <s v="PayPal"/>
        <s v="Venmo"/>
      </sharedItems>
    </cacheField>
    <cacheField name="[shopping_behavior_updated].[Age Group].[Age Group]" caption="Age Group" numFmtId="0" hierarchy="19" level="1">
      <sharedItems count="4">
        <s v="0-18"/>
        <s v="19-37"/>
        <s v="38-56"/>
        <s v="57-75"/>
      </sharedItems>
    </cacheField>
    <cacheField name="[shopping_behavior_updated].[Color].[Color]" caption="Color" numFmtId="0" hierarchy="9" level="1">
      <sharedItems count="25">
        <s v="Beige"/>
        <s v="Black"/>
        <s v="Blue"/>
        <s v="Brown"/>
        <s v="Charcoal"/>
        <s v="Cyan"/>
        <s v="Gold"/>
        <s v="Gray"/>
        <s v="Green"/>
        <s v="Indigo"/>
        <s v="Lavender"/>
        <s v="Magenta"/>
        <s v="Maroon"/>
        <s v="Olive"/>
        <s v="Orange"/>
        <s v="Peach"/>
        <s v="Pink"/>
        <s v="Purple"/>
        <s v="Red"/>
        <s v="Silver"/>
        <s v="Teal"/>
        <s v="Turquoise"/>
        <s v="Violet"/>
        <s v="White"/>
        <s v="Yellow"/>
      </sharedItems>
    </cacheField>
    <cacheField name="[shopping_behavior_updated].[Gender].[Gender]" caption="Gender" numFmtId="0" hierarchy="3" level="1">
      <sharedItems containsSemiMixedTypes="0" containsNonDate="0" containsString="0"/>
    </cacheField>
    <cacheField name="[shopping_behavior_updated].[Season].[Season]" caption="Season" numFmtId="0" hierarchy="10" level="1">
      <sharedItems count="4">
        <s v="Fall"/>
        <s v="Spring"/>
        <s v="Summer"/>
        <s v="Winter"/>
      </sharedItems>
    </cacheField>
    <cacheField name="[shopping_behavior_updated].[Category].[Category]" caption="Category" numFmtId="0" hierarchy="5"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fieldsUsage count="2">
        <fieldUsage x="-1"/>
        <fieldUsage x="6"/>
      </fieldsUsage>
    </cacheHierarchy>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2" memberValueDatatype="130" unbalanced="0">
      <fieldsUsage count="2">
        <fieldUsage x="-1"/>
        <fieldUsage x="0"/>
      </fieldsUsage>
    </cacheHierarchy>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fieldsUsage count="2">
        <fieldUsage x="-1"/>
        <fieldUsage x="8"/>
      </fieldsUsage>
    </cacheHierarchy>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fieldsUsage count="2">
        <fieldUsage x="-1"/>
        <fieldUsage x="2"/>
      </fieldsUsage>
    </cacheHierarchy>
    <cacheHierarchy uniqueName="[shopping_behavior_updated].[Color]" caption="Color" attribute="1" defaultMemberUniqueName="[shopping_behavior_updated].[Color].[All]" allUniqueName="[shopping_behavior_updated].[Color].[All]" dimensionUniqueName="[shopping_behavior_updated]" displayFolder="" count="2" memberValueDatatype="130" unbalanced="0">
      <fieldsUsage count="2">
        <fieldUsage x="-1"/>
        <fieldUsage x="5"/>
      </fieldsUsage>
    </cacheHierarchy>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7"/>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2" memberValueDatatype="130" unbalanced="0">
      <fieldsUsage count="2">
        <fieldUsage x="-1"/>
        <fieldUsage x="3"/>
      </fieldsUsage>
    </cacheHierarchy>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2" memberValueDatatype="130" unbalanced="0">
      <fieldsUsage count="2">
        <fieldUsage x="-1"/>
        <fieldUsage x="4"/>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1"/>
      </fieldsUsage>
    </cacheHierarchy>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824768521" backgroundQuery="1" createdVersion="8" refreshedVersion="8" minRefreshableVersion="3" recordCount="0" supportSubquery="1" supportAdvancedDrill="1" xr:uid="{904DCEE7-650A-41B6-B746-A902A1D855F1}">
  <cacheSource type="external" connectionId="3"/>
  <cacheFields count="3">
    <cacheField name="[shopping_behavior_updated].[Item Purchased].[Item Purchased]" caption="Item Purchased" numFmtId="0" hierarchy="4" level="1">
      <sharedItems count="5">
        <s v="Backpack"/>
        <s v="Gloves"/>
        <s v="Hoodie"/>
        <s v="Jeans"/>
        <s v="Sneakers"/>
      </sharedItems>
    </cacheField>
    <cacheField name="[Measures].[Total_Revenue]" caption="Total_Revenue" numFmtId="0" hierarchy="21" level="32767"/>
    <cacheField name="[shopping_behavior_updated].[Category].[Category]" caption="Category" numFmtId="0" hierarchy="5"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2" memberValueDatatype="130" unbalanced="0">
      <fieldsUsage count="2">
        <fieldUsage x="-1"/>
        <fieldUsage x="0"/>
      </fieldsUsage>
    </cacheHierarchy>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fieldsUsage count="2">
        <fieldUsage x="-1"/>
        <fieldUsage x="2"/>
      </fieldsUsage>
    </cacheHierarchy>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0" memberValueDatatype="130" unbalanced="0"/>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1"/>
      </fieldsUsage>
    </cacheHierarchy>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900462964" backgroundQuery="1" createdVersion="8" refreshedVersion="8" minRefreshableVersion="3" recordCount="0" supportSubquery="1" supportAdvancedDrill="1" xr:uid="{B7DE4AA0-AE24-4513-B862-982BEC5BB35F}">
  <cacheSource type="external" connectionId="3"/>
  <cacheFields count="6">
    <cacheField name="[shopping_behavior_updated].[Item Purchased].[Item Purchased]" caption="Item Purchased" numFmtId="0" hierarchy="4" level="1">
      <sharedItems count="10">
        <s v="Belt"/>
        <s v="Blouse"/>
        <s v="Dress"/>
        <s v="Jewelry"/>
        <s v="Pants"/>
        <s v="Scarf"/>
        <s v="Shirt"/>
        <s v="Shorts"/>
        <s v="Sunglasses"/>
        <s v="Sweater"/>
      </sharedItems>
    </cacheField>
    <cacheField name="[Measures].[Total_Revenue]" caption="Total_Revenue" numFmtId="0" hierarchy="21" level="32767"/>
    <cacheField name="[shopping_behavior_updated].[Size].[Size]" caption="Size" numFmtId="0" hierarchy="8" level="1">
      <sharedItems count="4">
        <s v="L"/>
        <s v="M"/>
        <s v="S"/>
        <s v="XL"/>
      </sharedItems>
    </cacheField>
    <cacheField name="[shopping_behavior_updated].[Payment Method].[Payment Method]" caption="Payment Method" numFmtId="0" hierarchy="17" level="1">
      <sharedItems count="6">
        <s v="Bank Transfer"/>
        <s v="Cash"/>
        <s v="Credit Card"/>
        <s v="Debit Card"/>
        <s v="PayPal"/>
        <s v="Venmo"/>
      </sharedItems>
    </cacheField>
    <cacheField name="[shopping_behavior_updated].[Age Group].[Age Group]" caption="Age Group" numFmtId="0" hierarchy="19" level="1">
      <sharedItems count="4">
        <s v="0-18"/>
        <s v="19-37"/>
        <s v="38-56"/>
        <s v="57-75"/>
      </sharedItems>
    </cacheField>
    <cacheField name="[shopping_behavior_updated].[Season].[Season]" caption="Season" numFmtId="0" hierarchy="10"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2" memberValueDatatype="130" unbalanced="0">
      <fieldsUsage count="2">
        <fieldUsage x="-1"/>
        <fieldUsage x="0"/>
      </fieldsUsage>
    </cacheHierarchy>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fieldsUsage count="2">
        <fieldUsage x="-1"/>
        <fieldUsage x="2"/>
      </fieldsUsage>
    </cacheHierarchy>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5"/>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2" memberValueDatatype="130" unbalanced="0">
      <fieldsUsage count="2">
        <fieldUsage x="-1"/>
        <fieldUsage x="3"/>
      </fieldsUsage>
    </cacheHierarchy>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2" memberValueDatatype="130" unbalanced="0">
      <fieldsUsage count="2">
        <fieldUsage x="-1"/>
        <fieldUsage x="4"/>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1"/>
      </fieldsUsage>
    </cacheHierarchy>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900810187" backgroundQuery="1" createdVersion="8" refreshedVersion="8" minRefreshableVersion="3" recordCount="0" supportSubquery="1" supportAdvancedDrill="1" xr:uid="{C0F915A0-D6C0-447E-8458-5921B2692636}">
  <cacheSource type="external" connectionId="3"/>
  <cacheFields count="3">
    <cacheField name="[shopping_behavior_updated].[Category].[Category]" caption="Category" numFmtId="0" hierarchy="5" level="1">
      <sharedItems count="4">
        <s v="Accessories"/>
        <s v="Clothing"/>
        <s v="Footwear"/>
        <s v="Outerwear"/>
      </sharedItems>
    </cacheField>
    <cacheField name="[Measures].[Total_Revenue]" caption="Total_Revenue" numFmtId="0" hierarchy="21" level="32767"/>
    <cacheField name="[shopping_behavior_updated].[Season].[Season]" caption="Season" numFmtId="0" hierarchy="10"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fieldsUsage count="2">
        <fieldUsage x="-1"/>
        <fieldUsage x="0"/>
      </fieldsUsage>
    </cacheHierarchy>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2"/>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1"/>
      </fieldsUsage>
    </cacheHierarchy>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90115741" backgroundQuery="1" createdVersion="8" refreshedVersion="8" minRefreshableVersion="3" recordCount="0" supportSubquery="1" supportAdvancedDrill="1" xr:uid="{BD69E424-8DB8-47ED-8AB6-3F98D39FF49E}">
  <cacheSource type="external" connectionId="3"/>
  <cacheFields count="3">
    <cacheField name="[shopping_behavior_updated].[Category].[Category]" caption="Category" numFmtId="0" hierarchy="5" level="1">
      <sharedItems count="4">
        <s v="Accessories"/>
        <s v="Clothing"/>
        <s v="Footwear"/>
        <s v="Outerwear"/>
      </sharedItems>
    </cacheField>
    <cacheField name="[Measures].[Total Transactions]" caption="Total Transactions" numFmtId="0" hierarchy="23" level="32767"/>
    <cacheField name="[shopping_behavior_updated].[Season].[Season]" caption="Season" numFmtId="0" hierarchy="10"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fieldsUsage count="2">
        <fieldUsage x="-1"/>
        <fieldUsage x="0"/>
      </fieldsUsage>
    </cacheHierarchy>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2"/>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cacheHierarchy uniqueName="[Measures].[Total Customer]" caption="Total Customer" measure="1" displayFolder="" measureGroup="Calculation" count="0"/>
    <cacheHierarchy uniqueName="[Measures].[Total Transactions]" caption="Total Transactions" measure="1" displayFolder="" measureGroup="Calculation" count="0" oneField="1">
      <fieldsUsage count="1">
        <fieldUsage x="1"/>
      </fieldsUsage>
    </cacheHierarchy>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901620372" backgroundQuery="1" createdVersion="8" refreshedVersion="8" minRefreshableVersion="3" recordCount="0" supportSubquery="1" supportAdvancedDrill="1" xr:uid="{68ADD8A7-3AB4-4338-8C81-6AB2567187B8}">
  <cacheSource type="external" connectionId="3"/>
  <cacheFields count="7">
    <cacheField name="[Measures].[Total_Revenue]" caption="Total_Revenue" numFmtId="0" hierarchy="21" level="32767"/>
    <cacheField name="[Measures].[Total Customer]" caption="Total Customer" numFmtId="0" hierarchy="22" level="32767"/>
    <cacheField name="[Measures].[Total Transactions]" caption="Total Transactions" numFmtId="0" hierarchy="23" level="32767"/>
    <cacheField name="[Measures].[Average Order Value (AOV)]" caption="Average Order Value (AOV)" numFmtId="0" hierarchy="24" level="32767"/>
    <cacheField name="[Measures].[Average Review Rating]" caption="Average Review Rating" numFmtId="0" hierarchy="25" level="32767"/>
    <cacheField name="[Measures].[Average Previous Purchases]" caption="Average Previous Purchases" numFmtId="0" hierarchy="26" level="32767"/>
    <cacheField name="[shopping_behavior_updated].[Season].[Season]" caption="Season" numFmtId="0" hierarchy="10"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6"/>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0"/>
      </fieldsUsage>
    </cacheHierarchy>
    <cacheHierarchy uniqueName="[Measures].[Total Customer]" caption="Total Customer" measure="1" displayFolder="" measureGroup="Calculation" count="0" oneField="1">
      <fieldsUsage count="1">
        <fieldUsage x="1"/>
      </fieldsUsage>
    </cacheHierarchy>
    <cacheHierarchy uniqueName="[Measures].[Total Transactions]" caption="Total Transactions" measure="1" displayFolder="" measureGroup="Calculation" count="0" oneField="1">
      <fieldsUsage count="1">
        <fieldUsage x="2"/>
      </fieldsUsage>
    </cacheHierarchy>
    <cacheHierarchy uniqueName="[Measures].[Average Order Value (AOV)]" caption="Average Order Value (AOV)" measure="1" displayFolder="" measureGroup="Calculation" count="0" oneField="1">
      <fieldsUsage count="1">
        <fieldUsage x="3"/>
      </fieldsUsage>
    </cacheHierarchy>
    <cacheHierarchy uniqueName="[Measures].[Average Review Rating]" caption="Average Review Rating" measure="1" displayFolder="" measureGroup="Calculation" count="0" oneField="1">
      <fieldsUsage count="1">
        <fieldUsage x="4"/>
      </fieldsUsage>
    </cacheHierarchy>
    <cacheHierarchy uniqueName="[Measures].[Average Previous Purchases]" caption="Average Previous Purchases" measure="1" displayFolder="" measureGroup="Calculation" count="0" oneField="1">
      <fieldsUsage count="1">
        <fieldUsage x="5"/>
      </fieldsUsage>
    </cacheHierarchy>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901967596" backgroundQuery="1" createdVersion="8" refreshedVersion="8" minRefreshableVersion="3" recordCount="0" supportSubquery="1" supportAdvancedDrill="1" xr:uid="{532C5369-93E4-4912-93EF-D6ED575AC9E2}">
  <cacheSource type="external" connectionId="3"/>
  <cacheFields count="5">
    <cacheField name="[shopping_behavior_updated].[Item Purchased].[Item Purchased]" caption="Item Purchased" numFmtId="0" hierarchy="4" level="1">
      <sharedItems count="10">
        <s v="Belt"/>
        <s v="Blouse"/>
        <s v="Dress"/>
        <s v="Jewelry"/>
        <s v="Pants"/>
        <s v="Scarf"/>
        <s v="Shirt"/>
        <s v="Shorts"/>
        <s v="Sunglasses"/>
        <s v="Sweater"/>
      </sharedItems>
    </cacheField>
    <cacheField name="[Measures].[Total_Revenue]" caption="Total_Revenue" numFmtId="0" hierarchy="21" level="32767"/>
    <cacheField name="[shopping_behavior_updated].[Size].[Size]" caption="Size" numFmtId="0" hierarchy="8" level="1">
      <sharedItems count="4">
        <s v="L"/>
        <s v="M"/>
        <s v="S"/>
        <s v="XL"/>
      </sharedItems>
    </cacheField>
    <cacheField name="[shopping_behavior_updated].[Payment Method].[Payment Method]" caption="Payment Method" numFmtId="0" hierarchy="17" level="1">
      <sharedItems count="6">
        <s v="Bank Transfer"/>
        <s v="Cash"/>
        <s v="Credit Card"/>
        <s v="Debit Card"/>
        <s v="PayPal"/>
        <s v="Venmo"/>
      </sharedItems>
    </cacheField>
    <cacheField name="[shopping_behavior_updated].[Season].[Season]" caption="Season" numFmtId="0" hierarchy="10"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2" memberValueDatatype="130" unbalanced="0">
      <fieldsUsage count="2">
        <fieldUsage x="-1"/>
        <fieldUsage x="0"/>
      </fieldsUsage>
    </cacheHierarchy>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fieldsUsage count="2">
        <fieldUsage x="-1"/>
        <fieldUsage x="2"/>
      </fieldsUsage>
    </cacheHierarchy>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4"/>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2" memberValueDatatype="130" unbalanced="0">
      <fieldsUsage count="2">
        <fieldUsage x="-1"/>
        <fieldUsage x="3"/>
      </fieldsUsage>
    </cacheHierarchy>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1"/>
      </fieldsUsage>
    </cacheHierarchy>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902314811" backgroundQuery="1" createdVersion="8" refreshedVersion="8" minRefreshableVersion="3" recordCount="0" supportSubquery="1" supportAdvancedDrill="1" xr:uid="{7E0E1AE5-F654-4971-B5AC-07A6F492C4F9}">
  <cacheSource type="external" connectionId="3"/>
  <cacheFields count="4">
    <cacheField name="[shopping_behavior_updated].[Item Purchased].[Item Purchased]" caption="Item Purchased" numFmtId="0" hierarchy="4" level="1">
      <sharedItems count="10">
        <s v="Belt"/>
        <s v="Blouse"/>
        <s v="Dress"/>
        <s v="Jewelry"/>
        <s v="Pants"/>
        <s v="Scarf"/>
        <s v="Shirt"/>
        <s v="Shorts"/>
        <s v="Sunglasses"/>
        <s v="Sweater"/>
      </sharedItems>
    </cacheField>
    <cacheField name="[Measures].[Total_Revenue]" caption="Total_Revenue" numFmtId="0" hierarchy="21" level="32767"/>
    <cacheField name="[shopping_behavior_updated].[Gender].[Gender]" caption="Gender" numFmtId="0" hierarchy="3" level="1">
      <sharedItems count="2">
        <s v="Female"/>
        <s v="Male"/>
      </sharedItems>
    </cacheField>
    <cacheField name="[shopping_behavior_updated].[Season].[Season]" caption="Season" numFmtId="0" hierarchy="10"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fieldsUsage count="2">
        <fieldUsage x="-1"/>
        <fieldUsage x="2"/>
      </fieldsUsage>
    </cacheHierarchy>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2" memberValueDatatype="130" unbalanced="0">
      <fieldsUsage count="2">
        <fieldUsage x="-1"/>
        <fieldUsage x="0"/>
      </fieldsUsage>
    </cacheHierarchy>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3"/>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1"/>
      </fieldsUsage>
    </cacheHierarchy>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902777781" backgroundQuery="1" createdVersion="8" refreshedVersion="8" minRefreshableVersion="3" recordCount="0" supportSubquery="1" supportAdvancedDrill="1" xr:uid="{666E6969-7B8F-4095-88B5-14C6BE3D6ECD}">
  <cacheSource type="external" connectionId="3"/>
  <cacheFields count="5">
    <cacheField name="[shopping_behavior_updated].[Item Purchased].[Item Purchased]" caption="Item Purchased" numFmtId="0" hierarchy="4" level="1">
      <sharedItems count="10">
        <s v="Belt"/>
        <s v="Blouse"/>
        <s v="Dress"/>
        <s v="Jewelry"/>
        <s v="Pants"/>
        <s v="Scarf"/>
        <s v="Shirt"/>
        <s v="Shorts"/>
        <s v="Sunglasses"/>
        <s v="Sweater"/>
      </sharedItems>
    </cacheField>
    <cacheField name="[Measures].[Total_Revenue]" caption="Total_Revenue" numFmtId="0" hierarchy="21" level="32767"/>
    <cacheField name="[shopping_behavior_updated].[Size].[Size]" caption="Size" numFmtId="0" hierarchy="8" level="1">
      <sharedItems count="4">
        <s v="L"/>
        <s v="M"/>
        <s v="S"/>
        <s v="XL"/>
      </sharedItems>
    </cacheField>
    <cacheField name="[shopping_behavior_updated].[Category].[Category]" caption="Category" numFmtId="0" hierarchy="5" level="1">
      <sharedItems containsSemiMixedTypes="0" containsNonDate="0" containsString="0"/>
    </cacheField>
    <cacheField name="[shopping_behavior_updated].[Season].[Season]" caption="Season" numFmtId="0" hierarchy="10"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2" memberValueDatatype="130" unbalanced="0">
      <fieldsUsage count="2">
        <fieldUsage x="-1"/>
        <fieldUsage x="0"/>
      </fieldsUsage>
    </cacheHierarchy>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fieldsUsage count="2">
        <fieldUsage x="-1"/>
        <fieldUsage x="3"/>
      </fieldsUsage>
    </cacheHierarchy>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fieldsUsage count="2">
        <fieldUsage x="-1"/>
        <fieldUsage x="2"/>
      </fieldsUsage>
    </cacheHierarchy>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4"/>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1"/>
      </fieldsUsage>
    </cacheHierarchy>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39903124997" backgroundQuery="1" createdVersion="8" refreshedVersion="8" minRefreshableVersion="3" recordCount="0" supportSubquery="1" supportAdvancedDrill="1" xr:uid="{49AA095B-0A93-49E3-93F0-B26BCBFA419B}">
  <cacheSource type="external" connectionId="3"/>
  <cacheFields count="3">
    <cacheField name="[shopping_behavior_updated].[Item Purchased].[Item Purchased]" caption="Item Purchased" numFmtId="0" hierarchy="4" level="1">
      <sharedItems count="5">
        <s v="Blouse"/>
        <s v="Dress"/>
        <s v="Jewelry"/>
        <s v="Pants"/>
        <s v="Shirt"/>
      </sharedItems>
    </cacheField>
    <cacheField name="[Measures].[Total_Revenue]" caption="Total_Revenue" numFmtId="0" hierarchy="21" level="32767"/>
    <cacheField name="[shopping_behavior_updated].[Season].[Season]" caption="Season" numFmtId="0" hierarchy="10" level="1">
      <sharedItems containsSemiMixedTypes="0" containsNonDate="0" containsString="0"/>
    </cacheField>
  </cacheFields>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2" memberValueDatatype="130" unbalanced="0">
      <fieldsUsage count="2">
        <fieldUsage x="-1"/>
        <fieldUsage x="0"/>
      </fieldsUsage>
    </cacheHierarchy>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2"/>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oneField="1">
      <fieldsUsage count="1">
        <fieldUsage x="1"/>
      </fieldsUsage>
    </cacheHierarchy>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dimensions count="3">
    <dimension name="Calculation" uniqueName="[Calculation]" caption="Calculation"/>
    <dimension measure="1" name="Measures" uniqueName="[Measures]" caption="Measures"/>
    <dimension name="shopping_behavior_updated" uniqueName="[shopping_behavior_updated]" caption="shopping_behavior_updated"/>
  </dimensions>
  <measureGroups count="2">
    <measureGroup name="Calculation" caption="Calculation"/>
    <measureGroup name="shopping_behavior_updated" caption="shopping_behavior_updated"/>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2.608823148148" backgroundQuery="1" createdVersion="3" refreshedVersion="8" minRefreshableVersion="3" recordCount="0" supportSubquery="1" supportAdvancedDrill="1" xr:uid="{D611D5F3-05A0-4BC1-8BD9-D66AF1B12E4D}">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culation].[Measures]" caption="Measures" attribute="1" defaultMemberUniqueName="[Calculation].[Measures].[All]" allUniqueName="[Calculation].[Measures].[All]" dimensionUniqueName="[Calculation]" displayFolder="" count="0" memberValueDatatype="130" unbalanced="0"/>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0"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Group]" caption="Age Group" attribute="1" defaultMemberUniqueName="[shopping_behavior_updated].[Age Group].[All]" allUniqueName="[shopping_behavior_updated].[Age Group].[All]" dimensionUniqueName="[shopping_behavior_updated]" displayFolder="" count="0"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6"/>
        </ext>
      </extLst>
    </cacheHierarchy>
    <cacheHierarchy uniqueName="[Measures].[Total_Revenue]" caption="Total_Revenue" measure="1" displayFolder="" measureGroup="Calculation" count="0"/>
    <cacheHierarchy uniqueName="[Measures].[Total Customer]" caption="Total Customer" measure="1" displayFolder="" measureGroup="Calculation" count="0"/>
    <cacheHierarchy uniqueName="[Measures].[Total Transactions]" caption="Total Transactions" measure="1" displayFolder="" measureGroup="Calculation" count="0"/>
    <cacheHierarchy uniqueName="[Measures].[Average Order Value (AOV)]" caption="Average Order Value (AOV)" measure="1" displayFolder="" measureGroup="Calculation" count="0"/>
    <cacheHierarchy uniqueName="[Measures].[Average Review Rating]" caption="Average Review Rating" measure="1" displayFolder="" measureGroup="Calculation" count="0"/>
    <cacheHierarchy uniqueName="[Measures].[Average Previous Purchases]" caption="Average Previous Purchases" measure="1" displayFolder="" measureGroup="Calculation" count="0"/>
    <cacheHierarchy uniqueName="[Measures].[__XL_Count shopping_behavior_updated]" caption="__XL_Count shopping_behavior_updated" measure="1" displayFolder="" measureGroup="shopping_behavior_updated" count="0" hidden="1"/>
    <cacheHierarchy uniqueName="[Measures].[__XL_Count Calculation]" caption="__XL_Count Calculation" measure="1" displayFolder="" measureGroup="Calcula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9009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641FA4-C8EE-4713-81AB-2F55CF19CF8E}" name="Age_Group_Table" cacheId="470" applyNumberFormats="0" applyBorderFormats="0" applyFontFormats="0" applyPatternFormats="0" applyAlignmentFormats="0" applyWidthHeightFormats="1" dataCaption="Values" tag="2b1ecfb8-e472-4cdd-b5da-4b311c40a83b" updatedVersion="8" minRefreshableVersion="3" useAutoFormatting="1" subtotalHiddenItems="1" rowGrandTotals="0" itemPrintTitles="1" createdVersion="8" indent="0" outline="1" outlineData="1" multipleFieldFilters="0" chartFormat="27">
  <location ref="AR5:AS9" firstHeaderRow="1" firstDataRow="1" firstDataCol="1"/>
  <pivotFields count="6">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4">
    <i>
      <x v="1"/>
    </i>
    <i>
      <x v="2"/>
    </i>
    <i>
      <x v="3"/>
    </i>
    <i>
      <x/>
    </i>
  </rowItems>
  <colItems count="1">
    <i/>
  </colItems>
  <dataFields count="1">
    <dataField fld="1" subtotal="count" baseField="0" baseItem="0"/>
  </dataFields>
  <chartFormats count="4">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2A6577-BC67-49CD-9310-00AB0E1D07BD}" name="Season Wise" cacheId="257" applyNumberFormats="0" applyBorderFormats="0" applyFontFormats="0" applyPatternFormats="0" applyAlignmentFormats="0" applyWidthHeightFormats="1" dataCaption="Values" tag="c4ad6cd0-0b2b-48a1-a00f-708500b5f1fb" updatedVersion="8" minRefreshableVersion="3" useAutoFormatting="1" subtotalHiddenItems="1" rowGrandTotals="0" itemPrintTitles="1" createdVersion="8" indent="0" outline="1" outlineData="1" multipleFieldFilters="0" chartFormat="27">
  <location ref="AZ5:BA9" firstHeaderRow="1" firstDataRow="1" firstDataCol="1" rowPageCount="1" colPageCount="1"/>
  <pivotFields count="9">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7"/>
  </rowFields>
  <rowItems count="4">
    <i>
      <x/>
    </i>
    <i>
      <x v="1"/>
    </i>
    <i>
      <x v="2"/>
    </i>
    <i>
      <x v="3"/>
    </i>
  </rowItems>
  <colItems count="1">
    <i/>
  </colItems>
  <pageFields count="1">
    <pageField fld="6" hier="3" name="[shopping_behavior_updated].[Gender].[All]" cap="All"/>
  </pageFields>
  <dataFields count="1">
    <dataField fld="1" subtotal="count" baseField="0" baseItem="0"/>
  </dataFields>
  <chartFormats count="4">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members count="1" level="1">
        <member name="[shopping_behavior_updated].[Category].&amp;[Accesso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DAE4D-5E6A-41B1-BE06-52BE16E171E4}" name="SubCategory_Wise_Revenue_TOP-10" cacheId="491" applyNumberFormats="0" applyBorderFormats="0" applyFontFormats="0" applyPatternFormats="0" applyAlignmentFormats="0" applyWidthHeightFormats="1" dataCaption="Values" tag="989172be-371c-4ecf-9d65-9ff2adabfdfd" updatedVersion="8" minRefreshableVersion="3" useAutoFormatting="1" rowGrandTotals="0" itemPrintTitles="1" createdVersion="8" indent="0" outline="1" outlineData="1" multipleFieldFilters="0" chartFormat="8">
  <location ref="J5:K10"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v="1"/>
    </i>
    <i>
      <x v="4"/>
    </i>
    <i>
      <x/>
    </i>
  </rowItems>
  <colItems count="1">
    <i/>
  </colItems>
  <dataFields count="1">
    <dataField fld="1" subtotal="count" baseField="0" baseItem="0"/>
  </dataFields>
  <chartFormats count="1">
    <chartFormat chart="6" format="1"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1">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20BF33-6FBA-43F7-B26F-2918FEA76C9B}" name="CategoryBox_Ship" cacheId="476" applyNumberFormats="0" applyBorderFormats="0" applyFontFormats="0" applyPatternFormats="0" applyAlignmentFormats="0" applyWidthHeightFormats="1" dataCaption="Values" tag="451bd319-e92f-4388-a0bb-b781ff3f6294" updatedVersion="8" minRefreshableVersion="3" useAutoFormatting="1" rowGrandTotals="0" itemPrintTitles="1" createdVersion="8" indent="0" outline="1" outlineData="1" multipleFieldFilters="0">
  <location ref="E15:F19"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x v="3"/>
    </i>
  </rowItems>
  <colItems count="1">
    <i/>
  </colItems>
  <dataFields count="1">
    <dataField fld="1" subtotal="count" baseField="0" baseItem="0"/>
  </dataField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0FB2A-B2F9-4145-841B-B64C3B5CF45D}" name="Payment_Method_Table" cacheId="482" applyNumberFormats="0" applyBorderFormats="0" applyFontFormats="0" applyPatternFormats="0" applyAlignmentFormats="0" applyWidthHeightFormats="1" dataCaption="Values" tag="19b95006-dded-46b5-8bc1-2cd3403bece2" updatedVersion="8" minRefreshableVersion="3" useAutoFormatting="1" subtotalHiddenItems="1" rowGrandTotals="0" itemPrintTitles="1" createdVersion="8" indent="0" outline="1" outlineData="1" multipleFieldFilters="0" chartFormat="25">
  <location ref="AM5:AN11" firstHeaderRow="1" firstDataRow="1" firstDataCol="1"/>
  <pivotFields count="5">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2"/>
    </i>
    <i>
      <x v="4"/>
    </i>
    <i>
      <x v="1"/>
    </i>
    <i>
      <x v="3"/>
    </i>
    <i>
      <x v="5"/>
    </i>
    <i>
      <x/>
    </i>
  </rowItems>
  <colItems count="1">
    <i/>
  </colItems>
  <dataFields count="1">
    <dataField fld="1" subtotal="count" baseField="0" baseItem="0"/>
  </dataFields>
  <chartFormats count="10">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3" count="1" selected="0">
            <x v="2"/>
          </reference>
        </references>
      </pivotArea>
    </chartFormat>
    <chartFormat chart="23" format="4">
      <pivotArea type="data" outline="0" fieldPosition="0">
        <references count="2">
          <reference field="4294967294" count="1" selected="0">
            <x v="0"/>
          </reference>
          <reference field="3" count="1" selected="0">
            <x v="4"/>
          </reference>
        </references>
      </pivotArea>
    </chartFormat>
    <chartFormat chart="23" format="5">
      <pivotArea type="data" outline="0" fieldPosition="0">
        <references count="2">
          <reference field="4294967294" count="1" selected="0">
            <x v="0"/>
          </reference>
          <reference field="3" count="1" selected="0">
            <x v="1"/>
          </reference>
        </references>
      </pivotArea>
    </chartFormat>
    <chartFormat chart="23" format="6">
      <pivotArea type="data" outline="0" fieldPosition="0">
        <references count="2">
          <reference field="4294967294" count="1" selected="0">
            <x v="0"/>
          </reference>
          <reference field="3" count="1" selected="0">
            <x v="3"/>
          </reference>
        </references>
      </pivotArea>
    </chartFormat>
    <chartFormat chart="23" format="7">
      <pivotArea type="data" outline="0" fieldPosition="0">
        <references count="2">
          <reference field="4294967294" count="1" selected="0">
            <x v="0"/>
          </reference>
          <reference field="3" count="1" selected="0">
            <x v="5"/>
          </reference>
        </references>
      </pivotArea>
    </chartFormat>
    <chartFormat chart="23" format="8">
      <pivotArea type="data" outline="0" fieldPosition="0">
        <references count="2">
          <reference field="4294967294" count="1" selected="0">
            <x v="0"/>
          </reference>
          <reference field="3"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06005B-56B0-48C0-8E18-641E9769814F}" name="Size_Wise_Revenue" cacheId="488" applyNumberFormats="0" applyBorderFormats="0" applyFontFormats="0" applyPatternFormats="0" applyAlignmentFormats="0" applyWidthHeightFormats="1" dataCaption="Values" tag="15d00adc-f97d-4920-b58c-0a782d6a4cab" updatedVersion="8" minRefreshableVersion="3" useAutoFormatting="1" subtotalHiddenItems="1" rowGrandTotals="0" itemPrintTitles="1" createdVersion="8" indent="0" outline="1" outlineData="1" multipleFieldFilters="0" chartFormat="20">
  <location ref="AF5:AG9" firstHeaderRow="1" firstDataRow="1" firstDataCol="1"/>
  <pivotFields count="5">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v="1"/>
    </i>
    <i>
      <x/>
    </i>
    <i>
      <x v="2"/>
    </i>
    <i>
      <x v="3"/>
    </i>
  </rowItems>
  <colItems count="1">
    <i/>
  </colItems>
  <dataFields count="1">
    <dataField fld="1" subtotal="count" baseField="0" baseItem="0"/>
  </dataFields>
  <chartFormats count="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members count="1" level="1">
        <member name="[shopping_behavior_updated].[Category].&amp;[Accessor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E14015-2AEE-4C9E-9FA4-803D9931F423}" name="Gender_Wise_Table" cacheId="485" applyNumberFormats="0" applyBorderFormats="0" applyFontFormats="0" applyPatternFormats="0" applyAlignmentFormats="0" applyWidthHeightFormats="1" dataCaption="Values" tag="082b5eab-8aac-4546-9792-ca71cc7186e6" updatedVersion="8" minRefreshableVersion="3" useAutoFormatting="1" subtotalHiddenItems="1" rowGrandTotals="0" itemPrintTitles="1" createdVersion="8" indent="0" outline="1" outlineData="1" multipleFieldFilters="0" chartFormat="13">
  <location ref="Y5:Z7"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Items count="1">
    <i/>
  </colItems>
  <dataFields count="1">
    <dataField fld="1" subtotal="count"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08CB90-47EE-4CB1-A46E-6C810D14E528}" name="Below 5 Product" cacheId="458" applyNumberFormats="0" applyBorderFormats="0" applyFontFormats="0" applyPatternFormats="0" applyAlignmentFormats="0" applyWidthHeightFormats="1" dataCaption="Values" tag="e69321aa-7148-4851-9496-ab9e1de0777e" updatedVersion="8" minRefreshableVersion="3" useAutoFormatting="1" rowGrandTotals="0" itemPrintTitles="1" createdVersion="8" indent="0" outline="1" outlineData="1" multipleFieldFilters="0" chartFormat="8">
  <location ref="O5:P1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4"/>
    </i>
    <i>
      <x v="1"/>
    </i>
    <i>
      <x v="3"/>
    </i>
  </rowItems>
  <colItems count="1">
    <i/>
  </colItems>
  <dataFields count="1">
    <dataField fld="1" subtotal="count" baseField="0" baseItem="0"/>
  </dataFields>
  <chartFormats count="1">
    <chartFormat chart="6" format="1"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1">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242F26-A353-4BCB-9E7D-5B990BD03CA5}" name="Category_Revenue" cacheId="473" applyNumberFormats="0" applyBorderFormats="0" applyFontFormats="0" applyPatternFormats="0" applyAlignmentFormats="0" applyWidthHeightFormats="1" dataCaption="Values" tag="ab9badf1-9198-4e3e-8c7a-5a98c14d0bd1" updatedVersion="8" minRefreshableVersion="3" useAutoFormatting="1" rowGrandTotals="0" itemPrintTitles="1" createdVersion="8" indent="0" outline="1" outlineData="1" multipleFieldFilters="0">
  <location ref="B15:C19"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x v="3"/>
    </i>
  </rowItems>
  <colItems count="1">
    <i/>
  </colItems>
  <dataFields count="1">
    <dataField fld="1"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EF0749-3888-4FB5-8DF9-383815BC9633}" name="KPI_Table" cacheId="479" applyNumberFormats="0" applyBorderFormats="0" applyFontFormats="0" applyPatternFormats="0" applyAlignmentFormats="0" applyWidthHeightFormats="1" dataCaption="Values" tag="829c6cf6-2f56-4709-8692-eca277a8724f" updatedVersion="8" minRefreshableVersion="3" useAutoFormatting="1" itemPrintTitles="1" createdVersion="8" indent="0" outline="1" outlineData="1" multipleFieldFilters="0">
  <location ref="B5:G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numFmtId="164"/>
    <dataField fld="2" subtotal="count" baseField="0" baseItem="0" numFmtId="164"/>
    <dataField fld="3" subtotal="count" baseField="0" baseItem="0"/>
    <dataField fld="4" subtotal="count" baseField="0" baseItem="0"/>
    <dataField fld="5" subtotal="count" baseField="0" baseItem="0" numFmtId="1"/>
  </dataFields>
  <formats count="3">
    <format dxfId="32">
      <pivotArea outline="0" collapsedLevelsAreSubtotals="1" fieldPosition="0">
        <references count="1">
          <reference field="4294967294" count="1" selected="0">
            <x v="5"/>
          </reference>
        </references>
      </pivotArea>
    </format>
    <format dxfId="31">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2"/>
          </reference>
        </references>
      </pivotArea>
    </format>
  </formats>
  <pivotHierarchies count="3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hopping_behavior_updated]"/>
        <x15:activeTabTopLevelEntity name="[Calcul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8E2B65C-F3F9-4DA2-BAAA-C3ED98C6C228}" sourceName="[shopping_behavior_updated].[Season]">
  <pivotTables>
    <pivotTable tabId="1" name="Age_Group_Table"/>
    <pivotTable tabId="1" name="Category_Revenue"/>
    <pivotTable tabId="1" name="CategoryBox_Ship"/>
    <pivotTable tabId="1" name="KPI_Table"/>
    <pivotTable tabId="1" name="Payment_Method_Table"/>
    <pivotTable tabId="1" name="Gender_Wise_Table"/>
    <pivotTable tabId="1" name="Size_Wise_Revenue"/>
    <pivotTable tabId="1" name="SubCategory_Wise_Revenue_TOP-10"/>
  </pivotTables>
  <data>
    <olap pivotCacheId="75900909">
      <levels count="2">
        <level uniqueName="[shopping_behavior_updated].[Season].[(All)]" sourceCaption="(All)" count="0"/>
        <level uniqueName="[shopping_behavior_updated].[Season].[Season]" sourceCaption="Season" count="4">
          <ranges>
            <range startItem="0">
              <i n="[shopping_behavior_updated].[Season].&amp;[Fall]" c="Fall"/>
              <i n="[shopping_behavior_updated].[Season].&amp;[Spring]" c="Spring"/>
              <i n="[shopping_behavior_updated].[Season].&amp;[Summer]" c="Summer"/>
              <i n="[shopping_behavior_updated].[Season].&amp;[Winter]" c="Winter"/>
            </range>
          </ranges>
        </level>
      </levels>
      <selections count="1">
        <selection n="[shopping_behavior_updated].[Sea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D746A3-FAD6-44EF-AF59-E71BC3AA4CE2}" sourceName="[shopping_behavior_updated].[Gender]">
  <pivotTables>
    <pivotTable tabId="1" name="Season Wise"/>
    <pivotTable tabId="1" name="Age_Group_Table"/>
    <pivotTable tabId="1" name="Below 5 Product"/>
    <pivotTable tabId="1" name="Category_Revenue"/>
    <pivotTable tabId="1" name="CategoryBox_Ship"/>
    <pivotTable tabId="1" name="KPI_Table"/>
    <pivotTable tabId="1" name="Payment_Method_Table"/>
    <pivotTable tabId="1" name="Size_Wise_Revenue"/>
    <pivotTable tabId="1" name="SubCategory_Wise_Revenue_TOP-10"/>
  </pivotTables>
  <data>
    <olap pivotCacheId="75900909">
      <levels count="2">
        <level uniqueName="[shopping_behavior_updated].[Gender].[(All)]" sourceCaption="(All)" count="0"/>
        <level uniqueName="[shopping_behavior_updated].[Gender].[Gender]" sourceCaption="Gender" count="2">
          <ranges>
            <range startItem="0">
              <i n="[shopping_behavior_updated].[Gender].&amp;[Female]" c="Female"/>
              <i n="[shopping_behavior_updated].[Gender].&amp;[Male]" c="Male"/>
            </range>
          </ranges>
        </level>
      </levels>
      <selections count="1">
        <selection n="[shopping_behavior_updated].[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E665A0-42F8-4D28-9640-84ADFD6FA7A2}" sourceName="[shopping_behavior_updated].[Category]">
  <pivotTables>
    <pivotTable tabId="1" name="Payment_Method_Table"/>
    <pivotTable tabId="1" name="Age_Group_Table"/>
    <pivotTable tabId="1" name="Below 5 Product"/>
    <pivotTable tabId="1" name="Gender_Wise_Table"/>
    <pivotTable tabId="1" name="KPI_Table"/>
    <pivotTable tabId="1" name="SubCategory_Wise_Revenue_TOP-10"/>
  </pivotTables>
  <data>
    <olap pivotCacheId="75900909">
      <levels count="2">
        <level uniqueName="[shopping_behavior_updated].[Category].[(All)]" sourceCaption="(All)" count="0"/>
        <level uniqueName="[shopping_behavior_updated].[Category].[Category]" sourceCaption="Category" count="4">
          <ranges>
            <range startItem="0">
              <i n="[shopping_behavior_updated].[Category].&amp;[Accessories]" c="Accessories"/>
              <i n="[shopping_behavior_updated].[Category].&amp;[Clothing]" c="Clothing"/>
              <i n="[shopping_behavior_updated].[Category].&amp;[Footwear]" c="Footwear"/>
              <i n="[shopping_behavior_updated].[Category].&amp;[Outerwear]" c="Outerwear"/>
            </range>
          </ranges>
        </level>
      </levels>
      <selections count="1">
        <selection n="[shopping_behavior_updated].[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277DCDC-2650-47DA-9935-795FD95AEF5A}" sourceName="[shopping_behavior_updated].[Size]">
  <pivotTables>
    <pivotTable tabId="1" name="Payment_Method_Table"/>
    <pivotTable tabId="1" name="Age_Group_Table"/>
    <pivotTable tabId="1" name="Below 5 Product"/>
    <pivotTable tabId="1" name="Category_Revenue"/>
    <pivotTable tabId="1" name="CategoryBox_Ship"/>
    <pivotTable tabId="1" name="Gender_Wise_Table"/>
    <pivotTable tabId="1" name="KPI_Table"/>
    <pivotTable tabId="1" name="SubCategory_Wise_Revenue_TOP-10"/>
  </pivotTables>
  <data>
    <olap pivotCacheId="75900909">
      <levels count="2">
        <level uniqueName="[shopping_behavior_updated].[Size].[(All)]" sourceCaption="(All)" count="0"/>
        <level uniqueName="[shopping_behavior_updated].[Size].[Size]" sourceCaption="Size" count="4">
          <ranges>
            <range startItem="0">
              <i n="[shopping_behavior_updated].[Size].&amp;[L]" c="L"/>
              <i n="[shopping_behavior_updated].[Size].&amp;[M]" c="M"/>
              <i n="[shopping_behavior_updated].[Size].&amp;[S]" c="S"/>
              <i n="[shopping_behavior_updated].[Size].&amp;[XL]" c="XL"/>
            </range>
          </ranges>
        </level>
      </levels>
      <selections count="1">
        <selection n="[shopping_behavior_updated].[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FDEA53F-9D75-4471-BB52-B19BA2AE6472}" cache="Slicer_Season" caption="Season" showCaption="0" level="1" style="SlicerStyleLight5 2" rowHeight="324000"/>
  <slicer name="Gender" xr10:uid="{74AC2A98-95F8-4DCF-B027-EBCDF3F3C020}" cache="Slicer_Gender" caption="Gender" columnCount="2" showCaption="0" level="1" style="SlicerStyleLight5 2" rowHeight="241300"/>
  <slicer name="Category" xr10:uid="{27B9444D-ED23-45BF-A9DF-D9E85C34A47B}" cache="Slicer_Category" caption="Category" columnCount="4" showCaption="0" level="1" style="SlicerStyleLight5 2" rowHeight="241300"/>
  <slicer name="Size" xr10:uid="{ECE2D0D3-172A-49A6-BDB0-D1D8B5558509}" cache="Slicer_Size" caption="Size" showCaption="0" level="1" style="SlicerStyleLight5 2" rowHeight="360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C110-D20A-47D7-B8C1-C51649AEDA4F}">
  <sheetPr codeName="Sheet1"/>
  <dimension ref="B3:BA27"/>
  <sheetViews>
    <sheetView topLeftCell="AK1" workbookViewId="0">
      <selection activeCell="E15" sqref="E15:F19"/>
    </sheetView>
  </sheetViews>
  <sheetFormatPr defaultRowHeight="15" x14ac:dyDescent="0.25"/>
  <cols>
    <col min="2" max="2" width="14.42578125" bestFit="1" customWidth="1"/>
    <col min="3" max="3" width="14.5703125" bestFit="1" customWidth="1"/>
    <col min="4" max="4" width="17" bestFit="1" customWidth="1"/>
    <col min="5" max="5" width="25.85546875" bestFit="1" customWidth="1"/>
    <col min="6" max="6" width="21.7109375" bestFit="1" customWidth="1"/>
    <col min="7" max="7" width="26.28515625" bestFit="1" customWidth="1"/>
    <col min="10" max="10" width="13.140625" bestFit="1" customWidth="1"/>
    <col min="11" max="12" width="14.42578125" bestFit="1" customWidth="1"/>
    <col min="15" max="15" width="13.140625" bestFit="1" customWidth="1"/>
    <col min="16" max="16" width="14.42578125" bestFit="1" customWidth="1"/>
    <col min="25" max="25" width="13.140625" bestFit="1" customWidth="1"/>
    <col min="26" max="26" width="14.42578125" bestFit="1" customWidth="1"/>
    <col min="27" max="27" width="12.28515625" bestFit="1" customWidth="1"/>
    <col min="32" max="32" width="13.140625" bestFit="1" customWidth="1"/>
    <col min="33" max="33" width="14.42578125" bestFit="1" customWidth="1"/>
    <col min="39" max="39" width="13.140625" bestFit="1" customWidth="1"/>
    <col min="40" max="40" width="14.42578125" bestFit="1" customWidth="1"/>
    <col min="44" max="44" width="13.140625" bestFit="1" customWidth="1"/>
    <col min="45" max="45" width="14.42578125" bestFit="1" customWidth="1"/>
    <col min="46" max="46" width="11.5703125" bestFit="1" customWidth="1"/>
    <col min="47" max="47" width="10.5703125" bestFit="1" customWidth="1"/>
    <col min="52" max="52" width="13.140625" bestFit="1" customWidth="1"/>
    <col min="53" max="53" width="14.42578125" bestFit="1" customWidth="1"/>
  </cols>
  <sheetData>
    <row r="3" spans="2:53" x14ac:dyDescent="0.25">
      <c r="AZ3" s="5" t="s">
        <v>41</v>
      </c>
      <c r="BA3" t="s" vm="1">
        <v>46</v>
      </c>
    </row>
    <row r="4" spans="2:53" x14ac:dyDescent="0.25">
      <c r="J4" s="12" t="s">
        <v>23</v>
      </c>
      <c r="K4" s="12"/>
      <c r="O4" s="12" t="s">
        <v>24</v>
      </c>
      <c r="P4" s="12"/>
      <c r="AM4" s="13" t="s">
        <v>34</v>
      </c>
      <c r="AN4" s="13"/>
      <c r="AO4" s="13"/>
      <c r="AR4" s="13" t="s">
        <v>35</v>
      </c>
      <c r="AS4" s="13"/>
      <c r="AZ4" s="13" t="s">
        <v>40</v>
      </c>
      <c r="BA4" s="13"/>
    </row>
    <row r="5" spans="2:53" x14ac:dyDescent="0.25">
      <c r="B5" t="s">
        <v>0</v>
      </c>
      <c r="C5" t="s">
        <v>1</v>
      </c>
      <c r="D5" t="s">
        <v>2</v>
      </c>
      <c r="E5" t="s">
        <v>3</v>
      </c>
      <c r="F5" t="s">
        <v>4</v>
      </c>
      <c r="G5" t="s">
        <v>5</v>
      </c>
      <c r="J5" s="5" t="s">
        <v>6</v>
      </c>
      <c r="K5" t="s">
        <v>0</v>
      </c>
      <c r="O5" s="5" t="s">
        <v>6</v>
      </c>
      <c r="P5" t="s">
        <v>0</v>
      </c>
      <c r="Y5" s="5" t="s">
        <v>6</v>
      </c>
      <c r="Z5" t="s">
        <v>0</v>
      </c>
      <c r="AF5" s="5" t="s">
        <v>6</v>
      </c>
      <c r="AG5" t="s">
        <v>0</v>
      </c>
      <c r="AH5" t="s">
        <v>19</v>
      </c>
      <c r="AI5" t="s">
        <v>20</v>
      </c>
      <c r="AJ5" t="s">
        <v>21</v>
      </c>
      <c r="AM5" s="5" t="s">
        <v>6</v>
      </c>
      <c r="AN5" t="s">
        <v>0</v>
      </c>
      <c r="AO5" t="s">
        <v>33</v>
      </c>
      <c r="AR5" s="5" t="s">
        <v>6</v>
      </c>
      <c r="AS5" t="s">
        <v>0</v>
      </c>
      <c r="AZ5" s="5" t="s">
        <v>6</v>
      </c>
      <c r="BA5" t="s">
        <v>0</v>
      </c>
    </row>
    <row r="6" spans="2:53" x14ac:dyDescent="0.25">
      <c r="B6" s="15">
        <v>233081</v>
      </c>
      <c r="C6" s="4">
        <v>3900</v>
      </c>
      <c r="D6" s="4">
        <v>3900</v>
      </c>
      <c r="E6" s="15">
        <v>59.764358974358977</v>
      </c>
      <c r="F6" s="1">
        <v>3.7499487179487137</v>
      </c>
      <c r="G6" s="2">
        <v>25.35153846153846</v>
      </c>
      <c r="J6" s="6" t="s">
        <v>11</v>
      </c>
      <c r="K6" s="15">
        <v>10010</v>
      </c>
      <c r="O6" s="6" t="s">
        <v>47</v>
      </c>
      <c r="P6" s="15">
        <v>8767</v>
      </c>
      <c r="Y6" s="6" t="s">
        <v>12</v>
      </c>
      <c r="Z6" s="15">
        <v>75191</v>
      </c>
      <c r="AA6" s="7"/>
      <c r="AF6" s="6" t="s">
        <v>16</v>
      </c>
      <c r="AG6" s="15">
        <v>105167</v>
      </c>
      <c r="AH6" s="7">
        <f>AG6/SUM($AG$6:$AG$9)</f>
        <v>0.45120365881388874</v>
      </c>
      <c r="AI6" s="7">
        <f>IF($AH6=MAX($AH$6:$AH$9),$AH6,"")</f>
        <v>0.45120365881388874</v>
      </c>
      <c r="AJ6" s="7" t="str">
        <f>IF($AH6=MIN($AH$6:$AH$9),$AH6,"")</f>
        <v/>
      </c>
      <c r="AM6" s="6" t="s">
        <v>29</v>
      </c>
      <c r="AN6" s="15">
        <v>40310</v>
      </c>
      <c r="AO6" s="7">
        <f>AN6/SUM($AN$6:$AN$11)</f>
        <v>0.17294416962343562</v>
      </c>
      <c r="AR6" s="6" t="s">
        <v>37</v>
      </c>
      <c r="AS6" s="15">
        <v>84081</v>
      </c>
      <c r="AZ6" s="6" t="s">
        <v>42</v>
      </c>
      <c r="BA6" s="15">
        <v>60018</v>
      </c>
    </row>
    <row r="7" spans="2:53" x14ac:dyDescent="0.25">
      <c r="J7" s="6" t="s">
        <v>50</v>
      </c>
      <c r="K7" s="15">
        <v>10090</v>
      </c>
      <c r="O7" s="6" t="s">
        <v>25</v>
      </c>
      <c r="P7" s="15">
        <v>8636</v>
      </c>
      <c r="Y7" s="6" t="s">
        <v>13</v>
      </c>
      <c r="Z7" s="15">
        <v>157890</v>
      </c>
      <c r="AA7" s="7"/>
      <c r="AF7" s="6" t="s">
        <v>15</v>
      </c>
      <c r="AG7" s="15">
        <v>61667</v>
      </c>
      <c r="AH7" s="7">
        <f t="shared" ref="AH7:AH9" si="0">AG7/SUM($AG$6:$AG$9)</f>
        <v>0.26457325993967762</v>
      </c>
      <c r="AI7" s="7" t="str">
        <f t="shared" ref="AI7:AI9" si="1">IF($AH7=MAX($AH$6:$AH$9),$AH7,"")</f>
        <v/>
      </c>
      <c r="AJ7" s="7" t="str">
        <f t="shared" ref="AJ7:AJ9" si="2">IF($AH7=MIN($AH$6:$AH$9),$AH7,"")</f>
        <v/>
      </c>
      <c r="AM7" s="6" t="s">
        <v>31</v>
      </c>
      <c r="AN7" s="15">
        <v>40109</v>
      </c>
      <c r="AO7" s="7">
        <f t="shared" ref="AO7:AO11" si="3">AN7/SUM($AN$6:$AN$11)</f>
        <v>0.17208180847001686</v>
      </c>
      <c r="AR7" s="6" t="s">
        <v>38</v>
      </c>
      <c r="AS7" s="15">
        <v>83898</v>
      </c>
      <c r="AZ7" s="6" t="s">
        <v>43</v>
      </c>
      <c r="BA7" s="15">
        <v>58679</v>
      </c>
    </row>
    <row r="8" spans="2:53" x14ac:dyDescent="0.25">
      <c r="J8" s="6" t="s">
        <v>51</v>
      </c>
      <c r="K8" s="15">
        <v>10320</v>
      </c>
      <c r="O8" s="6" t="s">
        <v>48</v>
      </c>
      <c r="P8" s="15">
        <v>8635</v>
      </c>
      <c r="AA8" s="7"/>
      <c r="AF8" s="6" t="s">
        <v>17</v>
      </c>
      <c r="AG8" s="15">
        <v>40468</v>
      </c>
      <c r="AH8" s="7">
        <f t="shared" si="0"/>
        <v>0.17362204555497873</v>
      </c>
      <c r="AI8" s="7" t="str">
        <f t="shared" si="1"/>
        <v/>
      </c>
      <c r="AJ8" s="7" t="str">
        <f t="shared" si="2"/>
        <v/>
      </c>
      <c r="AM8" s="6" t="s">
        <v>28</v>
      </c>
      <c r="AN8" s="15">
        <v>40002</v>
      </c>
      <c r="AO8" s="7">
        <f t="shared" si="3"/>
        <v>0.17162274059232627</v>
      </c>
      <c r="AR8" s="6" t="s">
        <v>39</v>
      </c>
      <c r="AS8" s="15">
        <v>60963</v>
      </c>
      <c r="AZ8" s="6" t="s">
        <v>44</v>
      </c>
      <c r="BA8" s="15">
        <v>55777</v>
      </c>
    </row>
    <row r="9" spans="2:53" x14ac:dyDescent="0.25">
      <c r="J9" s="6" t="s">
        <v>52</v>
      </c>
      <c r="K9" s="15">
        <v>10332</v>
      </c>
      <c r="M9" s="9">
        <v>1</v>
      </c>
      <c r="O9" s="6" t="s">
        <v>26</v>
      </c>
      <c r="P9" s="15">
        <v>8477</v>
      </c>
      <c r="AA9" s="7"/>
      <c r="AF9" s="6" t="s">
        <v>18</v>
      </c>
      <c r="AG9" s="15">
        <v>25779</v>
      </c>
      <c r="AH9" s="7">
        <f t="shared" si="0"/>
        <v>0.11060103569145491</v>
      </c>
      <c r="AI9" s="7" t="str">
        <f t="shared" si="1"/>
        <v/>
      </c>
      <c r="AJ9" s="7">
        <f t="shared" si="2"/>
        <v>0.11060103569145491</v>
      </c>
      <c r="AM9" s="6" t="s">
        <v>30</v>
      </c>
      <c r="AN9" s="15">
        <v>38742</v>
      </c>
      <c r="AO9" s="7">
        <f t="shared" si="3"/>
        <v>0.1662168945559698</v>
      </c>
      <c r="AR9" s="6" t="s">
        <v>36</v>
      </c>
      <c r="AS9" s="15">
        <v>4139</v>
      </c>
      <c r="AZ9" s="6" t="s">
        <v>45</v>
      </c>
      <c r="BA9" s="15">
        <v>58607</v>
      </c>
    </row>
    <row r="10" spans="2:53" x14ac:dyDescent="0.25">
      <c r="J10" s="6" t="s">
        <v>53</v>
      </c>
      <c r="K10" s="15">
        <v>10410</v>
      </c>
      <c r="O10" s="6" t="s">
        <v>49</v>
      </c>
      <c r="P10" s="15">
        <v>7548</v>
      </c>
      <c r="AA10" s="8"/>
      <c r="AM10" s="6" t="s">
        <v>32</v>
      </c>
      <c r="AN10" s="15">
        <v>37374</v>
      </c>
      <c r="AO10" s="7">
        <f t="shared" si="3"/>
        <v>0.16034769028792567</v>
      </c>
    </row>
    <row r="11" spans="2:53" x14ac:dyDescent="0.25">
      <c r="AM11" s="6" t="s">
        <v>27</v>
      </c>
      <c r="AN11" s="15">
        <v>36544</v>
      </c>
      <c r="AO11" s="7">
        <f t="shared" si="3"/>
        <v>0.15678669647032575</v>
      </c>
    </row>
    <row r="13" spans="2:53" x14ac:dyDescent="0.25">
      <c r="AH13" s="7"/>
      <c r="AI13" s="7"/>
      <c r="AJ13" s="7"/>
      <c r="AR13" t="str" cm="1">
        <f t="array" ref="AR13:AS17">AR5:AS9</f>
        <v>Row Labels</v>
      </c>
      <c r="AS13" t="str">
        <v>Total_Revenue</v>
      </c>
      <c r="AT13" t="s">
        <v>22</v>
      </c>
      <c r="AU13" t="s">
        <v>21</v>
      </c>
    </row>
    <row r="14" spans="2:53" x14ac:dyDescent="0.25">
      <c r="Y14" t="str" cm="1">
        <f t="array" ref="Y14:Y16">Y5:Y7</f>
        <v>Row Labels</v>
      </c>
      <c r="Z14" t="s">
        <v>14</v>
      </c>
      <c r="AA14" t="s">
        <v>22</v>
      </c>
      <c r="AB14" t="s">
        <v>21</v>
      </c>
      <c r="AF14" t="str" cm="1">
        <f t="array" ref="AF14:AF18">AF5:AF9</f>
        <v>Row Labels</v>
      </c>
      <c r="AG14" t="s">
        <v>19</v>
      </c>
      <c r="AH14" s="7" t="str" cm="1">
        <f t="array" ref="AH14:AI18">AI5:AJ9</f>
        <v>Mix</v>
      </c>
      <c r="AI14" t="str">
        <v>Min</v>
      </c>
      <c r="AJ14" s="7"/>
      <c r="AR14" t="str">
        <v>19-37</v>
      </c>
      <c r="AS14" s="10">
        <v>84081</v>
      </c>
      <c r="AT14" s="10">
        <f>IF($AS14=MAX($AS$14:$AS$17),$AS14,"")</f>
        <v>84081</v>
      </c>
      <c r="AU14" t="str">
        <f>IF($AS14=MIN($AS$14:$AS$17),$AS14,"")</f>
        <v/>
      </c>
    </row>
    <row r="15" spans="2:53" x14ac:dyDescent="0.25">
      <c r="B15" s="5" t="s">
        <v>6</v>
      </c>
      <c r="C15" t="s">
        <v>0</v>
      </c>
      <c r="E15" s="5" t="s">
        <v>6</v>
      </c>
      <c r="F15" t="s">
        <v>2</v>
      </c>
      <c r="K15" t="str" cm="1">
        <f t="array" ref="K15:L20">IF($M$9=1,$J$5:$K$10,$O$5:$P$10)</f>
        <v>Row Labels</v>
      </c>
      <c r="L15" t="str">
        <v>Total_Revenue</v>
      </c>
      <c r="Y15" t="str">
        <v>Female</v>
      </c>
      <c r="Z15" s="7">
        <f>Z6/SUM($Z$6:$Z$9)</f>
        <v>0.32259600739657029</v>
      </c>
      <c r="AA15" s="7" t="str">
        <f>IF($Z15=MAX($Z$15:$Z$18),$Z15,"")</f>
        <v/>
      </c>
      <c r="AB15" s="7">
        <f>IF($Z15=MIN($Z$15:$Z$18),$Z15,"")</f>
        <v>0.32259600739657029</v>
      </c>
      <c r="AC15" s="7"/>
      <c r="AF15" t="str">
        <v>M</v>
      </c>
      <c r="AG15" s="7">
        <f>AH6</f>
        <v>0.45120365881388874</v>
      </c>
      <c r="AH15" s="7">
        <v>0.45120365881388874</v>
      </c>
      <c r="AI15" t="str">
        <v/>
      </c>
      <c r="AJ15" s="7"/>
      <c r="AR15" t="str">
        <v>38-56</v>
      </c>
      <c r="AS15" s="10">
        <v>83898</v>
      </c>
      <c r="AT15" t="str">
        <f t="shared" ref="AT15:AT17" si="4">IF($AS15=MAX($AS$14:$AS$17),$AS15,"")</f>
        <v/>
      </c>
      <c r="AU15" t="str">
        <f t="shared" ref="AU15:AU17" si="5">IF($AS15=MIN($AS$14:$AS$17),$AS15,"")</f>
        <v/>
      </c>
    </row>
    <row r="16" spans="2:53" x14ac:dyDescent="0.25">
      <c r="B16" s="6" t="s">
        <v>8</v>
      </c>
      <c r="C16" s="15">
        <v>104264</v>
      </c>
      <c r="E16" s="6" t="s">
        <v>8</v>
      </c>
      <c r="F16" s="14">
        <v>1737</v>
      </c>
      <c r="K16" t="str">
        <v>Jewelry</v>
      </c>
      <c r="L16" s="10">
        <v>10010</v>
      </c>
      <c r="Y16" t="str">
        <v>Male</v>
      </c>
      <c r="Z16" s="7">
        <f t="shared" ref="Z16" si="6">Z7/SUM($Z$6:$Z$9)</f>
        <v>0.67740399260342976</v>
      </c>
      <c r="AA16" s="7">
        <f t="shared" ref="AA16:AA18" si="7">IF($Z16=MAX($Z$15:$Z$18),$Z16,"")</f>
        <v>0.67740399260342976</v>
      </c>
      <c r="AB16" s="7" t="str">
        <f t="shared" ref="AB16:AB18" si="8">IF($Z16=MIN($Z$15:$Z$18),$Z16,"")</f>
        <v/>
      </c>
      <c r="AC16" s="7"/>
      <c r="AF16" t="str">
        <v>L</v>
      </c>
      <c r="AG16" s="7">
        <f t="shared" ref="AG16:AG18" si="9">AH7</f>
        <v>0.26457325993967762</v>
      </c>
      <c r="AH16" s="7" t="str">
        <v/>
      </c>
      <c r="AI16" t="str">
        <v/>
      </c>
      <c r="AJ16" s="7"/>
      <c r="AR16" t="str">
        <v>57-75</v>
      </c>
      <c r="AS16" s="11">
        <v>60963</v>
      </c>
      <c r="AT16" t="str">
        <f t="shared" si="4"/>
        <v/>
      </c>
      <c r="AU16" t="str">
        <f t="shared" si="5"/>
        <v/>
      </c>
    </row>
    <row r="17" spans="2:47" x14ac:dyDescent="0.25">
      <c r="B17" s="6" t="s">
        <v>7</v>
      </c>
      <c r="C17" s="15">
        <v>74200</v>
      </c>
      <c r="E17" s="6" t="s">
        <v>7</v>
      </c>
      <c r="F17" s="14">
        <v>1240</v>
      </c>
      <c r="K17" t="str">
        <v>Pants</v>
      </c>
      <c r="L17" s="11">
        <v>10090</v>
      </c>
      <c r="Z17" s="7"/>
      <c r="AA17" s="7" t="str">
        <f t="shared" si="7"/>
        <v/>
      </c>
      <c r="AB17" s="7" t="str">
        <f t="shared" si="8"/>
        <v/>
      </c>
      <c r="AC17" s="7"/>
      <c r="AF17" t="str">
        <v>S</v>
      </c>
      <c r="AG17" s="7">
        <f t="shared" si="9"/>
        <v>0.17362204555497873</v>
      </c>
      <c r="AH17" t="str">
        <v/>
      </c>
      <c r="AI17" t="str">
        <v/>
      </c>
      <c r="AR17" t="str">
        <v>0-18</v>
      </c>
      <c r="AS17" s="10">
        <v>4139</v>
      </c>
      <c r="AT17" t="str">
        <f t="shared" si="4"/>
        <v/>
      </c>
      <c r="AU17" s="10">
        <f t="shared" si="5"/>
        <v>4139</v>
      </c>
    </row>
    <row r="18" spans="2:47" x14ac:dyDescent="0.25">
      <c r="B18" s="6" t="s">
        <v>9</v>
      </c>
      <c r="C18" s="15">
        <v>36093</v>
      </c>
      <c r="E18" s="6" t="s">
        <v>9</v>
      </c>
      <c r="F18" s="14">
        <v>599</v>
      </c>
      <c r="K18" t="str">
        <v>Dress</v>
      </c>
      <c r="L18" s="11">
        <v>10320</v>
      </c>
      <c r="Z18" s="7"/>
      <c r="AA18" s="7" t="str">
        <f t="shared" si="7"/>
        <v/>
      </c>
      <c r="AB18" s="7" t="str">
        <f t="shared" si="8"/>
        <v/>
      </c>
      <c r="AC18" s="7"/>
      <c r="AF18" t="str">
        <v>XL</v>
      </c>
      <c r="AG18" s="7">
        <f t="shared" si="9"/>
        <v>0.11060103569145491</v>
      </c>
      <c r="AH18" t="str">
        <v/>
      </c>
      <c r="AI18" s="7">
        <v>0.11060103569145491</v>
      </c>
    </row>
    <row r="19" spans="2:47" x14ac:dyDescent="0.25">
      <c r="B19" s="6" t="s">
        <v>10</v>
      </c>
      <c r="C19" s="15">
        <v>18524</v>
      </c>
      <c r="E19" s="6" t="s">
        <v>10</v>
      </c>
      <c r="F19" s="14">
        <v>324</v>
      </c>
      <c r="K19" t="str">
        <v>Shirt</v>
      </c>
      <c r="L19" s="11">
        <v>10332</v>
      </c>
    </row>
    <row r="20" spans="2:47" x14ac:dyDescent="0.25">
      <c r="K20" t="str">
        <v>Blouse</v>
      </c>
      <c r="L20" s="11">
        <v>10410</v>
      </c>
    </row>
    <row r="23" spans="2:47" x14ac:dyDescent="0.25">
      <c r="B23" t="str" cm="1">
        <f t="array" ref="B23:C27">B15:C19</f>
        <v>Row Labels</v>
      </c>
      <c r="C23" t="str">
        <v>Total_Revenue</v>
      </c>
      <c r="E23" t="str" cm="1">
        <f t="array" ref="E23:F27">E15:F19</f>
        <v>Row Labels</v>
      </c>
      <c r="F23" t="str">
        <v>Total Transactions</v>
      </c>
    </row>
    <row r="24" spans="2:47" x14ac:dyDescent="0.25">
      <c r="B24" t="str">
        <v>Clothing</v>
      </c>
      <c r="C24">
        <v>104264</v>
      </c>
      <c r="E24" t="str">
        <v>Clothing</v>
      </c>
      <c r="F24">
        <v>1737</v>
      </c>
    </row>
    <row r="25" spans="2:47" x14ac:dyDescent="0.25">
      <c r="B25" t="str">
        <v>Accessories</v>
      </c>
      <c r="C25">
        <v>74200</v>
      </c>
      <c r="E25" t="str">
        <v>Accessories</v>
      </c>
      <c r="F25">
        <v>1240</v>
      </c>
    </row>
    <row r="26" spans="2:47" x14ac:dyDescent="0.25">
      <c r="B26" t="str">
        <v>Footwear</v>
      </c>
      <c r="C26">
        <v>36093</v>
      </c>
      <c r="E26" t="str">
        <v>Footwear</v>
      </c>
      <c r="F26">
        <v>599</v>
      </c>
    </row>
    <row r="27" spans="2:47" x14ac:dyDescent="0.25">
      <c r="B27" t="str">
        <v>Outerwear</v>
      </c>
      <c r="C27">
        <v>18524</v>
      </c>
      <c r="E27" t="str">
        <v>Outerwear</v>
      </c>
      <c r="F27">
        <v>324</v>
      </c>
    </row>
  </sheetData>
  <mergeCells count="5">
    <mergeCell ref="J4:K4"/>
    <mergeCell ref="O4:P4"/>
    <mergeCell ref="AM4:AO4"/>
    <mergeCell ref="AR4:AS4"/>
    <mergeCell ref="AZ4:BA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3EC3-2432-4C72-AD89-A397708D087C}">
  <sheetPr codeName="Sheet2"/>
  <dimension ref="A3:U37"/>
  <sheetViews>
    <sheetView showGridLines="0" showRowColHeaders="0" tabSelected="1" zoomScale="80" zoomScaleNormal="80" workbookViewId="0">
      <selection activeCell="W16" sqref="W16"/>
    </sheetView>
  </sheetViews>
  <sheetFormatPr defaultRowHeight="15" x14ac:dyDescent="0.25"/>
  <sheetData>
    <row r="3" spans="1:21" x14ac:dyDescent="0.25">
      <c r="A3" s="3"/>
      <c r="B3" s="3"/>
      <c r="C3" s="3"/>
      <c r="D3" s="3"/>
      <c r="E3" s="3"/>
      <c r="F3" s="3"/>
      <c r="G3" s="3"/>
      <c r="H3" s="3"/>
      <c r="I3" s="3"/>
      <c r="J3" s="3"/>
      <c r="K3" s="3"/>
      <c r="L3" s="3"/>
      <c r="M3" s="3"/>
      <c r="N3" s="3"/>
      <c r="O3" s="3"/>
      <c r="P3" s="3"/>
      <c r="Q3" s="3"/>
      <c r="R3" s="3"/>
      <c r="S3" s="3"/>
      <c r="T3" s="3"/>
      <c r="U3" s="3"/>
    </row>
    <row r="4" spans="1:21" x14ac:dyDescent="0.25">
      <c r="A4" s="3"/>
      <c r="B4" s="3"/>
      <c r="C4" s="3"/>
      <c r="D4" s="3"/>
      <c r="E4" s="3"/>
      <c r="F4" s="3"/>
      <c r="G4" s="3"/>
      <c r="H4" s="3"/>
      <c r="I4" s="3"/>
      <c r="J4" s="3"/>
      <c r="K4" s="3"/>
      <c r="L4" s="3"/>
      <c r="M4" s="3"/>
      <c r="N4" s="3"/>
      <c r="O4" s="3"/>
      <c r="P4" s="3"/>
      <c r="Q4" s="3"/>
      <c r="R4" s="3"/>
      <c r="S4" s="3"/>
      <c r="T4" s="3"/>
      <c r="U4" s="3"/>
    </row>
    <row r="5" spans="1:21" x14ac:dyDescent="0.25">
      <c r="A5" s="3"/>
      <c r="B5" s="3"/>
      <c r="C5" s="3"/>
      <c r="D5" s="3"/>
      <c r="E5" s="3"/>
      <c r="F5" s="3"/>
      <c r="G5" s="3"/>
      <c r="H5" s="3"/>
      <c r="I5" s="3"/>
      <c r="J5" s="3"/>
      <c r="K5" s="3"/>
      <c r="L5" s="3"/>
      <c r="M5" s="3"/>
      <c r="N5" s="3"/>
      <c r="O5" s="3"/>
      <c r="P5" s="3"/>
      <c r="Q5" s="3"/>
      <c r="R5" s="3"/>
      <c r="S5" s="3"/>
      <c r="T5" s="3"/>
      <c r="U5" s="3"/>
    </row>
    <row r="6" spans="1:21" x14ac:dyDescent="0.25">
      <c r="A6" s="3"/>
      <c r="B6" s="3"/>
      <c r="C6" s="3"/>
      <c r="D6" s="3"/>
      <c r="E6" s="3"/>
      <c r="F6" s="3"/>
      <c r="G6" s="3"/>
      <c r="H6" s="3"/>
      <c r="I6" s="3"/>
      <c r="J6" s="3"/>
      <c r="K6" s="3"/>
      <c r="L6" s="3"/>
      <c r="M6" s="3"/>
      <c r="N6" s="3"/>
      <c r="O6" s="3"/>
      <c r="P6" s="3"/>
      <c r="Q6" s="3"/>
      <c r="R6" s="3"/>
      <c r="S6" s="3"/>
      <c r="T6" s="3"/>
      <c r="U6" s="3"/>
    </row>
    <row r="7" spans="1:21" x14ac:dyDescent="0.25">
      <c r="A7" s="3"/>
      <c r="B7" s="3"/>
      <c r="C7" s="3"/>
      <c r="D7" s="3"/>
      <c r="E7" s="3"/>
      <c r="F7" s="3"/>
      <c r="G7" s="3"/>
      <c r="H7" s="3"/>
      <c r="I7" s="3"/>
      <c r="J7" s="3"/>
      <c r="K7" s="3"/>
      <c r="L7" s="3"/>
      <c r="M7" s="3"/>
      <c r="N7" s="3"/>
      <c r="O7" s="3"/>
      <c r="P7" s="3"/>
      <c r="Q7" s="3"/>
      <c r="R7" s="3"/>
      <c r="S7" s="3"/>
      <c r="T7" s="3"/>
      <c r="U7" s="3"/>
    </row>
    <row r="8" spans="1:21" x14ac:dyDescent="0.25">
      <c r="A8" s="3"/>
      <c r="B8" s="3"/>
      <c r="C8" s="3"/>
      <c r="D8" s="3"/>
      <c r="E8" s="3"/>
      <c r="F8" s="3"/>
      <c r="G8" s="3"/>
      <c r="H8" s="3"/>
      <c r="I8" s="3"/>
      <c r="J8" s="3"/>
      <c r="K8" s="3"/>
      <c r="L8" s="3"/>
      <c r="M8" s="3"/>
      <c r="N8" s="3"/>
      <c r="O8" s="3"/>
      <c r="P8" s="3"/>
      <c r="Q8" s="3"/>
      <c r="R8" s="3"/>
      <c r="S8" s="3"/>
      <c r="T8" s="3"/>
      <c r="U8" s="3"/>
    </row>
    <row r="9" spans="1:21" x14ac:dyDescent="0.25">
      <c r="A9" s="3"/>
      <c r="B9" s="3"/>
      <c r="C9" s="3"/>
      <c r="D9" s="3"/>
      <c r="E9" s="3"/>
      <c r="F9" s="3"/>
      <c r="G9" s="3"/>
      <c r="H9" s="3"/>
      <c r="I9" s="3"/>
      <c r="J9" s="3"/>
      <c r="K9" s="3"/>
      <c r="L9" s="3"/>
      <c r="M9" s="3"/>
      <c r="N9" s="3"/>
      <c r="O9" s="3"/>
      <c r="P9" s="3"/>
      <c r="Q9" s="3"/>
      <c r="R9" s="3"/>
      <c r="S9" s="3"/>
      <c r="T9" s="3"/>
      <c r="U9" s="3"/>
    </row>
    <row r="10" spans="1:21" x14ac:dyDescent="0.25">
      <c r="A10" s="3"/>
      <c r="B10" s="3"/>
      <c r="C10" s="3"/>
      <c r="D10" s="3"/>
      <c r="E10" s="3"/>
      <c r="F10" s="3"/>
      <c r="G10" s="3"/>
      <c r="H10" s="3"/>
      <c r="I10" s="3"/>
      <c r="J10" s="3"/>
      <c r="K10" s="3"/>
      <c r="L10" s="3"/>
      <c r="M10" s="3"/>
      <c r="N10" s="3"/>
      <c r="O10" s="3"/>
      <c r="P10" s="3"/>
      <c r="Q10" s="3"/>
      <c r="R10" s="3"/>
      <c r="S10" s="3"/>
      <c r="T10" s="3"/>
      <c r="U10" s="3"/>
    </row>
    <row r="11" spans="1:21" x14ac:dyDescent="0.25">
      <c r="A11" s="3"/>
      <c r="B11" s="3"/>
      <c r="C11" s="3"/>
      <c r="D11" s="3"/>
      <c r="E11" s="3"/>
      <c r="F11" s="3"/>
      <c r="G11" s="3"/>
      <c r="H11" s="3"/>
      <c r="I11" s="3"/>
      <c r="J11" s="3"/>
      <c r="K11" s="3"/>
      <c r="L11" s="3"/>
      <c r="M11" s="3"/>
      <c r="N11" s="3"/>
      <c r="O11" s="3"/>
      <c r="P11" s="3"/>
      <c r="Q11" s="3"/>
      <c r="R11" s="3"/>
      <c r="S11" s="3"/>
      <c r="T11" s="3"/>
      <c r="U11" s="3"/>
    </row>
    <row r="12" spans="1:21" x14ac:dyDescent="0.25">
      <c r="A12" s="3"/>
      <c r="B12" s="3"/>
      <c r="C12" s="3"/>
      <c r="D12" s="3"/>
      <c r="E12" s="3"/>
      <c r="F12" s="3"/>
      <c r="G12" s="3"/>
      <c r="H12" s="3"/>
      <c r="I12" s="3"/>
      <c r="J12" s="3"/>
      <c r="K12" s="3"/>
      <c r="L12" s="3"/>
      <c r="M12" s="3"/>
      <c r="N12" s="3"/>
      <c r="O12" s="3"/>
      <c r="P12" s="3"/>
      <c r="Q12" s="3"/>
      <c r="R12" s="3"/>
      <c r="S12" s="3"/>
      <c r="T12" s="3"/>
      <c r="U12" s="3"/>
    </row>
    <row r="13" spans="1:21" x14ac:dyDescent="0.25">
      <c r="A13" s="3"/>
      <c r="B13" s="3"/>
      <c r="C13" s="3"/>
      <c r="D13" s="3"/>
      <c r="E13" s="3"/>
      <c r="F13" s="3"/>
      <c r="G13" s="3"/>
      <c r="H13" s="3"/>
      <c r="I13" s="3"/>
      <c r="J13" s="3"/>
      <c r="K13" s="3"/>
      <c r="L13" s="3"/>
      <c r="M13" s="3"/>
      <c r="N13" s="3"/>
      <c r="O13" s="3"/>
      <c r="P13" s="3"/>
      <c r="Q13" s="3"/>
      <c r="R13" s="3"/>
      <c r="S13" s="3"/>
      <c r="T13" s="3"/>
      <c r="U13" s="3"/>
    </row>
    <row r="14" spans="1:21" x14ac:dyDescent="0.25">
      <c r="A14" s="3"/>
      <c r="B14" s="3"/>
      <c r="C14" s="3"/>
      <c r="D14" s="3"/>
      <c r="E14" s="3"/>
      <c r="F14" s="3"/>
      <c r="G14" s="3"/>
      <c r="H14" s="3"/>
      <c r="I14" s="3"/>
      <c r="J14" s="3"/>
      <c r="K14" s="3"/>
      <c r="L14" s="3"/>
      <c r="M14" s="3"/>
      <c r="N14" s="3"/>
      <c r="O14" s="3"/>
      <c r="P14" s="3"/>
      <c r="Q14" s="3"/>
      <c r="R14" s="3"/>
      <c r="S14" s="3"/>
      <c r="T14" s="3"/>
      <c r="U14" s="3"/>
    </row>
    <row r="15" spans="1:21" x14ac:dyDescent="0.25">
      <c r="A15" s="3"/>
      <c r="B15" s="3"/>
      <c r="C15" s="3"/>
      <c r="D15" s="3"/>
      <c r="E15" s="3"/>
      <c r="F15" s="3"/>
      <c r="G15" s="3"/>
      <c r="H15" s="3"/>
      <c r="I15" s="3"/>
      <c r="J15" s="3"/>
      <c r="K15" s="3"/>
      <c r="L15" s="3"/>
      <c r="M15" s="3"/>
      <c r="N15" s="3"/>
      <c r="O15" s="3"/>
      <c r="P15" s="3"/>
      <c r="Q15" s="3"/>
      <c r="R15" s="3"/>
      <c r="S15" s="3"/>
      <c r="T15" s="3"/>
      <c r="U15" s="3"/>
    </row>
    <row r="16" spans="1:21" x14ac:dyDescent="0.25">
      <c r="A16" s="3"/>
      <c r="B16" s="3"/>
      <c r="C16" s="3"/>
      <c r="D16" s="3"/>
      <c r="E16" s="3"/>
      <c r="F16" s="3"/>
      <c r="G16" s="3"/>
      <c r="H16" s="3"/>
      <c r="I16" s="3"/>
      <c r="J16" s="3"/>
      <c r="K16" s="3"/>
      <c r="L16" s="3"/>
      <c r="M16" s="3"/>
      <c r="N16" s="3"/>
      <c r="O16" s="3"/>
      <c r="P16" s="3"/>
      <c r="Q16" s="3"/>
      <c r="R16" s="3"/>
      <c r="S16" s="3"/>
      <c r="T16" s="3"/>
      <c r="U16" s="3"/>
    </row>
    <row r="17" spans="1:21" x14ac:dyDescent="0.25">
      <c r="A17" s="3"/>
      <c r="B17" s="3"/>
      <c r="C17" s="3"/>
      <c r="D17" s="3"/>
      <c r="E17" s="3"/>
      <c r="F17" s="3"/>
      <c r="G17" s="3"/>
      <c r="H17" s="3"/>
      <c r="I17" s="3"/>
      <c r="J17" s="3"/>
      <c r="K17" s="3"/>
      <c r="L17" s="3"/>
      <c r="M17" s="3"/>
      <c r="N17" s="3"/>
      <c r="O17" s="3"/>
      <c r="P17" s="3"/>
      <c r="Q17" s="3"/>
      <c r="R17" s="3"/>
      <c r="S17" s="3"/>
      <c r="T17" s="3"/>
      <c r="U17" s="3"/>
    </row>
    <row r="18" spans="1:21" x14ac:dyDescent="0.25">
      <c r="A18" s="3"/>
      <c r="B18" s="3"/>
      <c r="C18" s="3"/>
      <c r="D18" s="3"/>
      <c r="E18" s="3"/>
      <c r="F18" s="3"/>
      <c r="G18" s="3"/>
      <c r="H18" s="3"/>
      <c r="I18" s="3"/>
      <c r="J18" s="3"/>
      <c r="K18" s="3"/>
      <c r="L18" s="3"/>
      <c r="M18" s="3"/>
      <c r="N18" s="3"/>
      <c r="O18" s="3"/>
      <c r="P18" s="3"/>
      <c r="Q18" s="3"/>
      <c r="R18" s="3"/>
      <c r="S18" s="3"/>
      <c r="T18" s="3"/>
      <c r="U18" s="3"/>
    </row>
    <row r="19" spans="1:21" x14ac:dyDescent="0.25">
      <c r="A19" s="3"/>
      <c r="B19" s="3"/>
      <c r="C19" s="3"/>
      <c r="D19" s="3"/>
      <c r="E19" s="3"/>
      <c r="F19" s="3"/>
      <c r="G19" s="3"/>
      <c r="H19" s="3"/>
      <c r="I19" s="3"/>
      <c r="J19" s="3"/>
      <c r="K19" s="3"/>
      <c r="L19" s="3"/>
      <c r="M19" s="3"/>
      <c r="N19" s="3"/>
      <c r="O19" s="3"/>
      <c r="P19" s="3"/>
      <c r="Q19" s="3"/>
      <c r="R19" s="3"/>
      <c r="S19" s="3"/>
      <c r="T19" s="3"/>
      <c r="U19" s="3"/>
    </row>
    <row r="20" spans="1:21" x14ac:dyDescent="0.25">
      <c r="A20" s="3"/>
      <c r="B20" s="3"/>
      <c r="C20" s="3"/>
      <c r="D20" s="3"/>
      <c r="E20" s="3"/>
      <c r="F20" s="3"/>
      <c r="G20" s="3"/>
      <c r="H20" s="3"/>
      <c r="I20" s="3"/>
      <c r="J20" s="3"/>
      <c r="K20" s="3"/>
      <c r="L20" s="3"/>
      <c r="M20" s="3"/>
      <c r="N20" s="3"/>
      <c r="O20" s="3"/>
      <c r="P20" s="3"/>
      <c r="Q20" s="3"/>
      <c r="R20" s="3"/>
      <c r="S20" s="3"/>
      <c r="T20" s="3"/>
      <c r="U20" s="3"/>
    </row>
    <row r="21" spans="1:21" x14ac:dyDescent="0.25">
      <c r="A21" s="3"/>
      <c r="B21" s="3"/>
      <c r="C21" s="3"/>
      <c r="D21" s="3"/>
      <c r="E21" s="3"/>
      <c r="F21" s="3"/>
      <c r="G21" s="3"/>
      <c r="H21" s="3"/>
      <c r="I21" s="3"/>
      <c r="J21" s="3"/>
      <c r="K21" s="3"/>
      <c r="L21" s="3"/>
      <c r="M21" s="3"/>
      <c r="N21" s="3"/>
      <c r="O21" s="3"/>
      <c r="P21" s="3"/>
      <c r="Q21" s="3"/>
      <c r="R21" s="3"/>
      <c r="S21" s="3"/>
      <c r="T21" s="3"/>
      <c r="U21" s="3"/>
    </row>
    <row r="22" spans="1:21" x14ac:dyDescent="0.25">
      <c r="A22" s="3"/>
      <c r="B22" s="3"/>
      <c r="C22" s="3"/>
      <c r="D22" s="3"/>
      <c r="E22" s="3"/>
      <c r="F22" s="3"/>
      <c r="G22" s="3"/>
      <c r="H22" s="3"/>
      <c r="I22" s="3"/>
      <c r="J22" s="3"/>
      <c r="K22" s="3"/>
      <c r="L22" s="3"/>
      <c r="M22" s="3"/>
      <c r="N22" s="3"/>
      <c r="O22" s="3"/>
      <c r="P22" s="3"/>
      <c r="Q22" s="3"/>
      <c r="R22" s="3"/>
      <c r="S22" s="3"/>
      <c r="T22" s="3"/>
      <c r="U22" s="3"/>
    </row>
    <row r="23" spans="1:21" x14ac:dyDescent="0.25">
      <c r="A23" s="3"/>
      <c r="B23" s="3"/>
      <c r="C23" s="3"/>
      <c r="D23" s="3"/>
      <c r="E23" s="3"/>
      <c r="F23" s="3"/>
      <c r="G23" s="3"/>
      <c r="H23" s="3"/>
      <c r="I23" s="3"/>
      <c r="J23" s="3"/>
      <c r="K23" s="3"/>
      <c r="L23" s="3"/>
      <c r="M23" s="3"/>
      <c r="N23" s="3"/>
      <c r="O23" s="3"/>
      <c r="P23" s="3"/>
      <c r="Q23" s="3"/>
      <c r="R23" s="3"/>
      <c r="S23" s="3"/>
      <c r="T23" s="3"/>
      <c r="U23" s="3"/>
    </row>
    <row r="24" spans="1:21" x14ac:dyDescent="0.25">
      <c r="A24" s="3"/>
      <c r="B24" s="3"/>
      <c r="C24" s="3"/>
      <c r="D24" s="3"/>
      <c r="E24" s="3"/>
      <c r="F24" s="3"/>
      <c r="G24" s="3"/>
      <c r="H24" s="3"/>
      <c r="I24" s="3"/>
      <c r="J24" s="3"/>
      <c r="K24" s="3"/>
      <c r="L24" s="3"/>
      <c r="M24" s="3"/>
      <c r="N24" s="3"/>
      <c r="O24" s="3"/>
      <c r="P24" s="3"/>
      <c r="Q24" s="3"/>
      <c r="R24" s="3"/>
      <c r="S24" s="3"/>
      <c r="T24" s="3"/>
      <c r="U24" s="3"/>
    </row>
    <row r="25" spans="1:21" x14ac:dyDescent="0.25">
      <c r="A25" s="3"/>
      <c r="B25" s="3"/>
      <c r="C25" s="3"/>
      <c r="D25" s="3"/>
      <c r="E25" s="3"/>
      <c r="F25" s="3"/>
      <c r="G25" s="3"/>
      <c r="H25" s="3"/>
      <c r="I25" s="3"/>
      <c r="J25" s="3"/>
      <c r="K25" s="3"/>
      <c r="L25" s="3"/>
      <c r="M25" s="3"/>
      <c r="N25" s="3"/>
      <c r="O25" s="3"/>
      <c r="P25" s="3"/>
      <c r="Q25" s="3"/>
      <c r="R25" s="3"/>
      <c r="S25" s="3"/>
      <c r="T25" s="3"/>
      <c r="U25" s="3"/>
    </row>
    <row r="26" spans="1:21" x14ac:dyDescent="0.25">
      <c r="A26" s="3"/>
      <c r="B26" s="3"/>
      <c r="C26" s="3"/>
      <c r="D26" s="3"/>
      <c r="E26" s="3"/>
      <c r="F26" s="3"/>
      <c r="G26" s="3"/>
      <c r="H26" s="3"/>
      <c r="I26" s="3"/>
      <c r="J26" s="3"/>
      <c r="K26" s="3"/>
      <c r="L26" s="3"/>
      <c r="M26" s="3"/>
      <c r="N26" s="3"/>
      <c r="O26" s="3"/>
      <c r="P26" s="3"/>
      <c r="Q26" s="3"/>
      <c r="R26" s="3"/>
      <c r="S26" s="3"/>
      <c r="T26" s="3"/>
      <c r="U26" s="3"/>
    </row>
    <row r="27" spans="1:21" x14ac:dyDescent="0.25">
      <c r="A27" s="3"/>
      <c r="B27" s="3"/>
      <c r="C27" s="3"/>
      <c r="D27" s="3"/>
      <c r="E27" s="3"/>
      <c r="F27" s="3"/>
      <c r="G27" s="3"/>
      <c r="H27" s="3"/>
      <c r="I27" s="3"/>
      <c r="J27" s="3"/>
      <c r="K27" s="3"/>
      <c r="L27" s="3"/>
      <c r="M27" s="3"/>
      <c r="N27" s="3"/>
      <c r="O27" s="3"/>
      <c r="P27" s="3"/>
      <c r="Q27" s="3"/>
      <c r="R27" s="3"/>
      <c r="S27" s="3"/>
      <c r="T27" s="3"/>
      <c r="U27" s="3"/>
    </row>
    <row r="28" spans="1:21" x14ac:dyDescent="0.25">
      <c r="A28" s="3"/>
      <c r="B28" s="3"/>
      <c r="C28" s="3"/>
      <c r="D28" s="3"/>
      <c r="E28" s="3"/>
      <c r="F28" s="3"/>
      <c r="G28" s="3"/>
      <c r="H28" s="3"/>
      <c r="I28" s="3"/>
      <c r="J28" s="3"/>
      <c r="K28" s="3"/>
      <c r="L28" s="3"/>
      <c r="M28" s="3"/>
      <c r="N28" s="3"/>
      <c r="O28" s="3"/>
      <c r="P28" s="3"/>
      <c r="Q28" s="3"/>
      <c r="R28" s="3"/>
      <c r="S28" s="3"/>
      <c r="T28" s="3"/>
      <c r="U28" s="3"/>
    </row>
    <row r="29" spans="1:21" x14ac:dyDescent="0.25">
      <c r="A29" s="3"/>
      <c r="B29" s="3"/>
      <c r="C29" s="3"/>
      <c r="D29" s="3"/>
      <c r="E29" s="3"/>
      <c r="F29" s="3"/>
      <c r="G29" s="3"/>
      <c r="H29" s="3"/>
      <c r="I29" s="3"/>
      <c r="J29" s="3"/>
      <c r="K29" s="3"/>
      <c r="L29" s="3"/>
      <c r="M29" s="3"/>
      <c r="N29" s="3"/>
      <c r="O29" s="3"/>
      <c r="P29" s="3"/>
      <c r="Q29" s="3"/>
      <c r="R29" s="3"/>
      <c r="S29" s="3"/>
      <c r="T29" s="3"/>
      <c r="U29" s="3"/>
    </row>
    <row r="30" spans="1:21" x14ac:dyDescent="0.25">
      <c r="A30" s="3"/>
      <c r="B30" s="3"/>
      <c r="C30" s="3"/>
      <c r="D30" s="3"/>
      <c r="E30" s="3"/>
      <c r="F30" s="3"/>
      <c r="G30" s="3"/>
      <c r="H30" s="3"/>
      <c r="I30" s="3"/>
      <c r="J30" s="3"/>
      <c r="K30" s="3"/>
      <c r="L30" s="3"/>
      <c r="M30" s="3"/>
      <c r="N30" s="3"/>
      <c r="O30" s="3"/>
      <c r="P30" s="3"/>
      <c r="Q30" s="3"/>
      <c r="R30" s="3"/>
      <c r="S30" s="3"/>
      <c r="T30" s="3"/>
      <c r="U30" s="3"/>
    </row>
    <row r="31" spans="1:21" x14ac:dyDescent="0.25">
      <c r="A31" s="3"/>
      <c r="B31" s="3"/>
      <c r="C31" s="3"/>
      <c r="D31" s="3"/>
      <c r="E31" s="3"/>
      <c r="F31" s="3"/>
      <c r="G31" s="3"/>
      <c r="H31" s="3"/>
      <c r="I31" s="3"/>
      <c r="J31" s="3"/>
      <c r="K31" s="3"/>
      <c r="L31" s="3"/>
      <c r="M31" s="3"/>
      <c r="N31" s="3"/>
      <c r="O31" s="3"/>
      <c r="P31" s="3"/>
      <c r="Q31" s="3"/>
      <c r="R31" s="3"/>
      <c r="S31" s="3"/>
      <c r="T31" s="3"/>
      <c r="U31" s="3"/>
    </row>
    <row r="32" spans="1:21" x14ac:dyDescent="0.25">
      <c r="A32" s="3"/>
      <c r="B32" s="3"/>
      <c r="C32" s="3"/>
      <c r="D32" s="3"/>
      <c r="E32" s="3"/>
      <c r="F32" s="3"/>
      <c r="G32" s="3"/>
      <c r="H32" s="3"/>
      <c r="I32" s="3"/>
      <c r="J32" s="3"/>
      <c r="K32" s="3"/>
      <c r="L32" s="3"/>
      <c r="M32" s="3"/>
      <c r="N32" s="3"/>
      <c r="O32" s="3"/>
      <c r="P32" s="3"/>
      <c r="Q32" s="3"/>
      <c r="R32" s="3"/>
      <c r="S32" s="3"/>
      <c r="T32" s="3"/>
      <c r="U32" s="3"/>
    </row>
    <row r="33" spans="1:21" x14ac:dyDescent="0.25">
      <c r="A33" s="3"/>
      <c r="B33" s="3"/>
      <c r="C33" s="3"/>
      <c r="D33" s="3"/>
      <c r="E33" s="3"/>
      <c r="F33" s="3"/>
      <c r="G33" s="3"/>
      <c r="H33" s="3"/>
      <c r="I33" s="3"/>
      <c r="J33" s="3"/>
      <c r="K33" s="3"/>
      <c r="L33" s="3"/>
      <c r="M33" s="3"/>
      <c r="N33" s="3"/>
      <c r="O33" s="3"/>
      <c r="P33" s="3"/>
      <c r="Q33" s="3"/>
      <c r="R33" s="3"/>
      <c r="S33" s="3"/>
      <c r="T33" s="3"/>
      <c r="U33" s="3"/>
    </row>
    <row r="34" spans="1:21" x14ac:dyDescent="0.25">
      <c r="A34" s="3"/>
      <c r="B34" s="3"/>
      <c r="C34" s="3"/>
      <c r="D34" s="3"/>
      <c r="E34" s="3"/>
      <c r="F34" s="3"/>
      <c r="G34" s="3"/>
      <c r="H34" s="3"/>
      <c r="I34" s="3"/>
      <c r="J34" s="3"/>
      <c r="K34" s="3"/>
      <c r="L34" s="3"/>
      <c r="M34" s="3"/>
      <c r="N34" s="3"/>
      <c r="O34" s="3"/>
      <c r="P34" s="3"/>
      <c r="Q34" s="3"/>
      <c r="R34" s="3"/>
      <c r="S34" s="3"/>
      <c r="T34" s="3"/>
      <c r="U34" s="3"/>
    </row>
    <row r="35" spans="1:21" x14ac:dyDescent="0.25">
      <c r="A35" s="3"/>
      <c r="B35" s="3"/>
      <c r="C35" s="3"/>
      <c r="D35" s="3"/>
      <c r="E35" s="3"/>
      <c r="F35" s="3"/>
      <c r="G35" s="3"/>
      <c r="H35" s="3"/>
      <c r="I35" s="3"/>
      <c r="J35" s="3"/>
      <c r="K35" s="3"/>
      <c r="L35" s="3"/>
      <c r="M35" s="3"/>
      <c r="N35" s="3"/>
      <c r="O35" s="3"/>
      <c r="P35" s="3"/>
      <c r="Q35" s="3"/>
      <c r="R35" s="3"/>
      <c r="S35" s="3"/>
      <c r="T35" s="3"/>
      <c r="U35" s="3"/>
    </row>
    <row r="36" spans="1:21" x14ac:dyDescent="0.25">
      <c r="A36" s="3"/>
      <c r="B36" s="3"/>
      <c r="C36" s="3"/>
      <c r="D36" s="3"/>
      <c r="E36" s="3"/>
      <c r="F36" s="3"/>
      <c r="G36" s="3"/>
      <c r="H36" s="3"/>
      <c r="I36" s="3"/>
      <c r="J36" s="3"/>
      <c r="K36" s="3"/>
      <c r="L36" s="3"/>
      <c r="M36" s="3"/>
      <c r="N36" s="3"/>
      <c r="O36" s="3"/>
      <c r="P36" s="3"/>
      <c r="Q36" s="3"/>
      <c r="R36" s="3"/>
      <c r="S36" s="3"/>
      <c r="T36" s="3"/>
      <c r="U36" s="3"/>
    </row>
    <row r="37" spans="1:21" x14ac:dyDescent="0.25">
      <c r="A37" s="3"/>
      <c r="B37" s="3"/>
      <c r="C37" s="3"/>
      <c r="D37" s="3"/>
      <c r="E37" s="3"/>
      <c r="F37" s="3"/>
      <c r="G37" s="3"/>
      <c r="H37" s="3"/>
      <c r="I37" s="3"/>
      <c r="J37" s="3"/>
      <c r="K37" s="3"/>
      <c r="L37" s="3"/>
      <c r="M37" s="3"/>
      <c r="N37" s="3"/>
      <c r="O37" s="3"/>
      <c r="P37" s="3"/>
      <c r="Q37" s="3"/>
      <c r="R37" s="3"/>
      <c r="S37" s="3"/>
      <c r="T37" s="3"/>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defaultSize="0" autoFill="0" autoLine="0" autoPict="0">
                <anchor moveWithCells="1">
                  <from>
                    <xdr:col>6</xdr:col>
                    <xdr:colOff>323850</xdr:colOff>
                    <xdr:row>27</xdr:row>
                    <xdr:rowOff>171450</xdr:rowOff>
                  </from>
                  <to>
                    <xdr:col>6</xdr:col>
                    <xdr:colOff>514350</xdr:colOff>
                    <xdr:row>28</xdr:row>
                    <xdr:rowOff>171450</xdr:rowOff>
                  </to>
                </anchor>
              </controlPr>
            </control>
          </mc:Choice>
        </mc:AlternateContent>
        <mc:AlternateContent xmlns:mc="http://schemas.openxmlformats.org/markup-compatibility/2006">
          <mc:Choice Requires="x14">
            <control shapeId="1026" r:id="rId4" name="Option Button 2">
              <controlPr defaultSize="0" autoFill="0" autoLine="0" autoPict="0">
                <anchor moveWithCells="1">
                  <from>
                    <xdr:col>6</xdr:col>
                    <xdr:colOff>314325</xdr:colOff>
                    <xdr:row>29</xdr:row>
                    <xdr:rowOff>114300</xdr:rowOff>
                  </from>
                  <to>
                    <xdr:col>6</xdr:col>
                    <xdr:colOff>504825</xdr:colOff>
                    <xdr:row>30</xdr:row>
                    <xdr:rowOff>114300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1F400456-F114-496E-93EC-519C69AED1D4}">
  <ds:schemaRefs/>
</ds:datastoreItem>
</file>

<file path=customXml/itemProps2.xml><?xml version="1.0" encoding="utf-8"?>
<ds:datastoreItem xmlns:ds="http://schemas.openxmlformats.org/officeDocument/2006/customXml" ds:itemID="{27C690A8-43B8-4785-9581-4D1CFF51DC1D}">
  <ds:schemaRefs/>
</ds:datastoreItem>
</file>

<file path=customXml/itemProps3.xml><?xml version="1.0" encoding="utf-8"?>
<ds:datastoreItem xmlns:ds="http://schemas.openxmlformats.org/officeDocument/2006/customXml" ds:itemID="{C146FF70-0391-40FE-BA35-5292979B726E}">
  <ds:schemaRefs/>
</ds:datastoreItem>
</file>

<file path=customXml/itemProps4.xml><?xml version="1.0" encoding="utf-8"?>
<ds:datastoreItem xmlns:ds="http://schemas.openxmlformats.org/officeDocument/2006/customXml" ds:itemID="{57740943-9DDD-4D51-91F7-0C93D8920920}">
  <ds:schemaRefs/>
</ds:datastoreItem>
</file>

<file path=customXml/itemProps5.xml><?xml version="1.0" encoding="utf-8"?>
<ds:datastoreItem xmlns:ds="http://schemas.openxmlformats.org/officeDocument/2006/customXml" ds:itemID="{4E263DE9-00F3-4347-8804-A578F737E258}">
  <ds:schemaRefs/>
</ds:datastoreItem>
</file>

<file path=customXml/itemProps6.xml><?xml version="1.0" encoding="utf-8"?>
<ds:datastoreItem xmlns:ds="http://schemas.openxmlformats.org/officeDocument/2006/customXml" ds:itemID="{69E7824B-A577-4797-9848-EAFD2B4D8072}">
  <ds:schemaRefs/>
</ds:datastoreItem>
</file>

<file path=customXml/itemProps7.xml><?xml version="1.0" encoding="utf-8"?>
<ds:datastoreItem xmlns:ds="http://schemas.openxmlformats.org/officeDocument/2006/customXml" ds:itemID="{248ADD61-9358-4911-95CE-C2B19F2823A5}">
  <ds:schemaRefs/>
</ds:datastoreItem>
</file>

<file path=customXml/itemProps8.xml><?xml version="1.0" encoding="utf-8"?>
<ds:datastoreItem xmlns:ds="http://schemas.openxmlformats.org/officeDocument/2006/customXml" ds:itemID="{93049BE9-16E9-4580-911B-1EE9AA195083}">
  <ds:schemaRefs/>
</ds:datastoreItem>
</file>

<file path=customXml/itemProps9.xml><?xml version="1.0" encoding="utf-8"?>
<ds:datastoreItem xmlns:ds="http://schemas.openxmlformats.org/officeDocument/2006/customXml" ds:itemID="{C8BF3229-C082-4AFC-ACF6-8C020F86AA79}">
  <ds:schemaRefs/>
</ds:datastoreItem>
</file>

<file path=customXml/itemProps10.xml><?xml version="1.0" encoding="utf-8"?>
<ds:datastoreItem xmlns:ds="http://schemas.openxmlformats.org/officeDocument/2006/customXml" ds:itemID="{62E58D59-AAB3-4D8C-8404-5CE07B980CC8}">
  <ds:schemaRefs/>
</ds:datastoreItem>
</file>

<file path=customXml/itemProps11.xml><?xml version="1.0" encoding="utf-8"?>
<ds:datastoreItem xmlns:ds="http://schemas.openxmlformats.org/officeDocument/2006/customXml" ds:itemID="{2BDF1666-A2D6-4ED3-A3A8-9792B8372F73}">
  <ds:schemaRefs/>
</ds:datastoreItem>
</file>

<file path=customXml/itemProps12.xml><?xml version="1.0" encoding="utf-8"?>
<ds:datastoreItem xmlns:ds="http://schemas.openxmlformats.org/officeDocument/2006/customXml" ds:itemID="{E49AC522-BD24-4D84-8F09-1398DD540D56}">
  <ds:schemaRefs/>
</ds:datastoreItem>
</file>

<file path=customXml/itemProps13.xml><?xml version="1.0" encoding="utf-8"?>
<ds:datastoreItem xmlns:ds="http://schemas.openxmlformats.org/officeDocument/2006/customXml" ds:itemID="{CC11D554-FDE9-45D5-8A35-6A8DF415B114}">
  <ds:schemaRefs/>
</ds:datastoreItem>
</file>

<file path=customXml/itemProps14.xml><?xml version="1.0" encoding="utf-8"?>
<ds:datastoreItem xmlns:ds="http://schemas.openxmlformats.org/officeDocument/2006/customXml" ds:itemID="{FBAC7F06-E5D0-48B4-A1B6-F201A8C52A87}">
  <ds:schemaRefs/>
</ds:datastoreItem>
</file>

<file path=customXml/itemProps15.xml><?xml version="1.0" encoding="utf-8"?>
<ds:datastoreItem xmlns:ds="http://schemas.openxmlformats.org/officeDocument/2006/customXml" ds:itemID="{903A87A1-0E5A-42B2-A290-8310D606858E}">
  <ds:schemaRefs/>
</ds:datastoreItem>
</file>

<file path=customXml/itemProps16.xml><?xml version="1.0" encoding="utf-8"?>
<ds:datastoreItem xmlns:ds="http://schemas.openxmlformats.org/officeDocument/2006/customXml" ds:itemID="{1C2C9B1B-50DB-48B1-BD20-2080A15F1B9E}">
  <ds:schemaRefs/>
</ds:datastoreItem>
</file>

<file path=customXml/itemProps17.xml><?xml version="1.0" encoding="utf-8"?>
<ds:datastoreItem xmlns:ds="http://schemas.openxmlformats.org/officeDocument/2006/customXml" ds:itemID="{64E56205-B155-4F2D-900E-C3BB92A822C8}">
  <ds:schemaRefs/>
</ds:datastoreItem>
</file>

<file path=customXml/itemProps18.xml><?xml version="1.0" encoding="utf-8"?>
<ds:datastoreItem xmlns:ds="http://schemas.openxmlformats.org/officeDocument/2006/customXml" ds:itemID="{604E5823-8DE7-4E9A-A2FE-2762E8A2FA74}">
  <ds:schemaRefs/>
</ds:datastoreItem>
</file>

<file path=customXml/itemProps19.xml><?xml version="1.0" encoding="utf-8"?>
<ds:datastoreItem xmlns:ds="http://schemas.openxmlformats.org/officeDocument/2006/customXml" ds:itemID="{CD3912BE-D3D4-4793-88D7-344D284DF65F}">
  <ds:schemaRefs/>
</ds:datastoreItem>
</file>

<file path=customXml/itemProps20.xml><?xml version="1.0" encoding="utf-8"?>
<ds:datastoreItem xmlns:ds="http://schemas.openxmlformats.org/officeDocument/2006/customXml" ds:itemID="{7689D944-C7A2-4EF6-AEFF-0BBCD966538E}">
  <ds:schemaRefs/>
</ds:datastoreItem>
</file>

<file path=customXml/itemProps21.xml><?xml version="1.0" encoding="utf-8"?>
<ds:datastoreItem xmlns:ds="http://schemas.openxmlformats.org/officeDocument/2006/customXml" ds:itemID="{5FF08F2B-4293-4E0A-ACAF-2F8289597A59}">
  <ds:schemaRefs/>
</ds:datastoreItem>
</file>

<file path=customXml/itemProps22.xml><?xml version="1.0" encoding="utf-8"?>
<ds:datastoreItem xmlns:ds="http://schemas.openxmlformats.org/officeDocument/2006/customXml" ds:itemID="{DDE0E265-CD01-4DAF-A212-B2615636FD5E}">
  <ds:schemaRefs/>
</ds:datastoreItem>
</file>

<file path=customXml/itemProps23.xml><?xml version="1.0" encoding="utf-8"?>
<ds:datastoreItem xmlns:ds="http://schemas.openxmlformats.org/officeDocument/2006/customXml" ds:itemID="{1519313C-A724-4AB4-901A-E76EA6F87FAB}">
  <ds:schemaRefs/>
</ds:datastoreItem>
</file>

<file path=customXml/itemProps24.xml><?xml version="1.0" encoding="utf-8"?>
<ds:datastoreItem xmlns:ds="http://schemas.openxmlformats.org/officeDocument/2006/customXml" ds:itemID="{43DBBB35-D701-42F8-BD10-C3739163D44F}">
  <ds:schemaRefs/>
</ds:datastoreItem>
</file>

<file path=customXml/itemProps25.xml><?xml version="1.0" encoding="utf-8"?>
<ds:datastoreItem xmlns:ds="http://schemas.openxmlformats.org/officeDocument/2006/customXml" ds:itemID="{9B5B0BC2-D4F8-4D3F-9634-44ABFF5D8383}">
  <ds:schemaRefs/>
</ds:datastoreItem>
</file>

<file path=customXml/itemProps26.xml><?xml version="1.0" encoding="utf-8"?>
<ds:datastoreItem xmlns:ds="http://schemas.openxmlformats.org/officeDocument/2006/customXml" ds:itemID="{84B82B45-820A-49AD-855F-C9AA91F97E3B}">
  <ds:schemaRefs/>
</ds:datastoreItem>
</file>

<file path=customXml/itemProps27.xml><?xml version="1.0" encoding="utf-8"?>
<ds:datastoreItem xmlns:ds="http://schemas.openxmlformats.org/officeDocument/2006/customXml" ds:itemID="{78466F24-BF4E-417E-A879-78B52363E2FE}">
  <ds:schemaRefs/>
</ds:datastoreItem>
</file>

<file path=customXml/itemProps28.xml><?xml version="1.0" encoding="utf-8"?>
<ds:datastoreItem xmlns:ds="http://schemas.openxmlformats.org/officeDocument/2006/customXml" ds:itemID="{CE20CD84-C005-432B-AF50-DAA8991246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Raidas</dc:creator>
  <cp:lastModifiedBy>Sameeha Raidas</cp:lastModifiedBy>
  <dcterms:created xsi:type="dcterms:W3CDTF">2025-12-14T05:02:35Z</dcterms:created>
  <dcterms:modified xsi:type="dcterms:W3CDTF">2026-04-30T09:51:30Z</dcterms:modified>
</cp:coreProperties>
</file>